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cco\Downloads\"/>
    </mc:Choice>
  </mc:AlternateContent>
  <xr:revisionPtr revIDLastSave="0" documentId="13_ncr:1_{845A2DBA-71E6-4D40-B06F-BA33ACD4AC49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Read me" sheetId="1" r:id="rId1"/>
    <sheet name="Data" sheetId="2" r:id="rId2"/>
    <sheet name="Regression" sheetId="3" r:id="rId3"/>
    <sheet name="Char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4" l="1"/>
  <c r="A32" i="4"/>
  <c r="E17" i="4"/>
  <c r="A14" i="4"/>
  <c r="H91" i="2"/>
  <c r="G91" i="2"/>
  <c r="F91" i="2"/>
  <c r="E91" i="2"/>
  <c r="D19" i="4" s="1"/>
  <c r="D91" i="2"/>
  <c r="E19" i="4" s="1"/>
  <c r="H90" i="2"/>
  <c r="F90" i="2"/>
  <c r="G90" i="2" s="1"/>
  <c r="E90" i="2"/>
  <c r="D18" i="4" s="1"/>
  <c r="D90" i="2"/>
  <c r="E18" i="4" s="1"/>
  <c r="H89" i="2"/>
  <c r="F89" i="2"/>
  <c r="G89" i="2" s="1"/>
  <c r="E89" i="2"/>
  <c r="D17" i="4" s="1"/>
  <c r="D89" i="2"/>
  <c r="H88" i="2"/>
  <c r="F88" i="2"/>
  <c r="G88" i="2" s="1"/>
  <c r="E88" i="2"/>
  <c r="D88" i="2"/>
  <c r="H87" i="2"/>
  <c r="F87" i="2"/>
  <c r="G87" i="2" s="1"/>
  <c r="E87" i="2"/>
  <c r="D87" i="2"/>
  <c r="H86" i="2"/>
  <c r="F86" i="2"/>
  <c r="G86" i="2" s="1"/>
  <c r="E86" i="2"/>
  <c r="D16" i="4" s="1"/>
  <c r="D86" i="2"/>
  <c r="E16" i="4" s="1"/>
  <c r="H85" i="2"/>
  <c r="F85" i="2"/>
  <c r="G85" i="2" s="1"/>
  <c r="E85" i="2"/>
  <c r="D15" i="4" s="1"/>
  <c r="D85" i="2"/>
  <c r="E15" i="4" s="1"/>
  <c r="H84" i="2"/>
  <c r="G84" i="2"/>
  <c r="F84" i="2"/>
  <c r="E84" i="2"/>
  <c r="D14" i="4" s="1"/>
  <c r="D84" i="2"/>
  <c r="E14" i="4" s="1"/>
  <c r="H83" i="2"/>
  <c r="G83" i="2"/>
  <c r="F83" i="2"/>
  <c r="E83" i="2"/>
  <c r="D13" i="4" s="1"/>
  <c r="D83" i="2"/>
  <c r="E13" i="4" s="1"/>
  <c r="H82" i="2"/>
  <c r="G82" i="2"/>
  <c r="F82" i="2"/>
  <c r="E82" i="2"/>
  <c r="D12" i="4" s="1"/>
  <c r="D82" i="2"/>
  <c r="E12" i="4" s="1"/>
  <c r="H81" i="2"/>
  <c r="F81" i="2"/>
  <c r="G81" i="2" s="1"/>
  <c r="E81" i="2"/>
  <c r="D11" i="4" s="1"/>
  <c r="D81" i="2"/>
  <c r="E11" i="4" s="1"/>
  <c r="H80" i="2"/>
  <c r="G80" i="2"/>
  <c r="F80" i="2"/>
  <c r="E80" i="2"/>
  <c r="D10" i="4" s="1"/>
  <c r="D80" i="2"/>
  <c r="E10" i="4" s="1"/>
  <c r="H79" i="2"/>
  <c r="G79" i="2"/>
  <c r="F79" i="2"/>
  <c r="E79" i="2"/>
  <c r="D9" i="4" s="1"/>
  <c r="D79" i="2"/>
  <c r="E9" i="4" s="1"/>
  <c r="H78" i="2"/>
  <c r="G78" i="2"/>
  <c r="F78" i="2"/>
  <c r="E78" i="2"/>
  <c r="D8" i="4" s="1"/>
  <c r="D78" i="2"/>
  <c r="E8" i="4" s="1"/>
  <c r="H77" i="2"/>
  <c r="F77" i="2"/>
  <c r="G77" i="2" s="1"/>
  <c r="E77" i="2"/>
  <c r="D7" i="4" s="1"/>
  <c r="D77" i="2"/>
  <c r="E7" i="4" s="1"/>
  <c r="H76" i="2"/>
  <c r="F76" i="2"/>
  <c r="G76" i="2" s="1"/>
  <c r="E76" i="2"/>
  <c r="D76" i="2"/>
  <c r="H75" i="2"/>
  <c r="F75" i="2"/>
  <c r="G75" i="2" s="1"/>
  <c r="E75" i="2"/>
  <c r="D75" i="2"/>
  <c r="H74" i="2"/>
  <c r="F74" i="2"/>
  <c r="G74" i="2" s="1"/>
  <c r="E74" i="2"/>
  <c r="D6" i="4" s="1"/>
  <c r="D74" i="2"/>
  <c r="E6" i="4" s="1"/>
  <c r="H73" i="2"/>
  <c r="F73" i="2"/>
  <c r="G73" i="2" s="1"/>
  <c r="E73" i="2"/>
  <c r="A55" i="4" s="1"/>
  <c r="D73" i="2"/>
  <c r="B55" i="4" s="1"/>
  <c r="H72" i="2"/>
  <c r="G72" i="2"/>
  <c r="F72" i="2"/>
  <c r="E72" i="2"/>
  <c r="A54" i="4" s="1"/>
  <c r="D72" i="2"/>
  <c r="B54" i="4" s="1"/>
  <c r="H71" i="2"/>
  <c r="G71" i="2"/>
  <c r="F71" i="2"/>
  <c r="E71" i="2"/>
  <c r="A53" i="4" s="1"/>
  <c r="D71" i="2"/>
  <c r="B53" i="4" s="1"/>
  <c r="H70" i="2"/>
  <c r="G70" i="2"/>
  <c r="F70" i="2"/>
  <c r="E70" i="2"/>
  <c r="A52" i="4" s="1"/>
  <c r="D70" i="2"/>
  <c r="B52" i="4" s="1"/>
  <c r="H69" i="2"/>
  <c r="F69" i="2"/>
  <c r="G69" i="2" s="1"/>
  <c r="E69" i="2"/>
  <c r="A51" i="4" s="1"/>
  <c r="D69" i="2"/>
  <c r="B51" i="4" s="1"/>
  <c r="H68" i="2"/>
  <c r="G68" i="2"/>
  <c r="F68" i="2"/>
  <c r="E68" i="2"/>
  <c r="A50" i="4" s="1"/>
  <c r="D68" i="2"/>
  <c r="B50" i="4" s="1"/>
  <c r="H67" i="2"/>
  <c r="G67" i="2"/>
  <c r="F67" i="2"/>
  <c r="E67" i="2"/>
  <c r="A49" i="4" s="1"/>
  <c r="D67" i="2"/>
  <c r="B49" i="4" s="1"/>
  <c r="H66" i="2"/>
  <c r="F66" i="2"/>
  <c r="G66" i="2" s="1"/>
  <c r="E66" i="2"/>
  <c r="A48" i="4" s="1"/>
  <c r="D66" i="2"/>
  <c r="B48" i="4" s="1"/>
  <c r="H65" i="2"/>
  <c r="F65" i="2"/>
  <c r="G65" i="2" s="1"/>
  <c r="E65" i="2"/>
  <c r="A47" i="4" s="1"/>
  <c r="D65" i="2"/>
  <c r="B47" i="4" s="1"/>
  <c r="H64" i="2"/>
  <c r="F64" i="2"/>
  <c r="G64" i="2" s="1"/>
  <c r="E64" i="2"/>
  <c r="D64" i="2"/>
  <c r="H63" i="2"/>
  <c r="F63" i="2"/>
  <c r="G63" i="2" s="1"/>
  <c r="E63" i="2"/>
  <c r="D63" i="2"/>
  <c r="H62" i="2"/>
  <c r="F62" i="2"/>
  <c r="G62" i="2" s="1"/>
  <c r="E62" i="2"/>
  <c r="A46" i="4" s="1"/>
  <c r="D62" i="2"/>
  <c r="B46" i="4" s="1"/>
  <c r="H61" i="2"/>
  <c r="F61" i="2"/>
  <c r="G61" i="2" s="1"/>
  <c r="E61" i="2"/>
  <c r="A45" i="4" s="1"/>
  <c r="D61" i="2"/>
  <c r="B45" i="4" s="1"/>
  <c r="H60" i="2"/>
  <c r="G60" i="2"/>
  <c r="F60" i="2"/>
  <c r="E60" i="2"/>
  <c r="A44" i="4" s="1"/>
  <c r="D60" i="2"/>
  <c r="B44" i="4" s="1"/>
  <c r="H59" i="2"/>
  <c r="G59" i="2"/>
  <c r="F59" i="2"/>
  <c r="E59" i="2"/>
  <c r="A43" i="4" s="1"/>
  <c r="D59" i="2"/>
  <c r="B43" i="4" s="1"/>
  <c r="H58" i="2"/>
  <c r="G58" i="2"/>
  <c r="F58" i="2"/>
  <c r="E58" i="2"/>
  <c r="A42" i="4" s="1"/>
  <c r="D58" i="2"/>
  <c r="B42" i="4" s="1"/>
  <c r="H57" i="2"/>
  <c r="F57" i="2"/>
  <c r="G57" i="2" s="1"/>
  <c r="E57" i="2"/>
  <c r="A41" i="4" s="1"/>
  <c r="D57" i="2"/>
  <c r="B41" i="4" s="1"/>
  <c r="H56" i="2"/>
  <c r="G56" i="2"/>
  <c r="F56" i="2"/>
  <c r="E56" i="2"/>
  <c r="A40" i="4" s="1"/>
  <c r="D56" i="2"/>
  <c r="B40" i="4" s="1"/>
  <c r="H55" i="2"/>
  <c r="G55" i="2"/>
  <c r="F55" i="2"/>
  <c r="E55" i="2"/>
  <c r="A39" i="4" s="1"/>
  <c r="D55" i="2"/>
  <c r="B39" i="4" s="1"/>
  <c r="H54" i="2"/>
  <c r="F54" i="2"/>
  <c r="G54" i="2" s="1"/>
  <c r="E54" i="2"/>
  <c r="A38" i="4" s="1"/>
  <c r="D54" i="2"/>
  <c r="B38" i="4" s="1"/>
  <c r="H53" i="2"/>
  <c r="G53" i="2"/>
  <c r="F53" i="2"/>
  <c r="E53" i="2"/>
  <c r="A37" i="4" s="1"/>
  <c r="D53" i="2"/>
  <c r="B37" i="4" s="1"/>
  <c r="H52" i="2"/>
  <c r="F52" i="2"/>
  <c r="G52" i="2" s="1"/>
  <c r="E52" i="2"/>
  <c r="D52" i="2"/>
  <c r="H51" i="2"/>
  <c r="G51" i="2"/>
  <c r="I51" i="2" s="1"/>
  <c r="F51" i="2"/>
  <c r="E51" i="2"/>
  <c r="D51" i="2"/>
  <c r="H50" i="2"/>
  <c r="F50" i="2"/>
  <c r="G50" i="2" s="1"/>
  <c r="E50" i="2"/>
  <c r="A36" i="4" s="1"/>
  <c r="D50" i="2"/>
  <c r="B36" i="4" s="1"/>
  <c r="H49" i="2"/>
  <c r="G49" i="2"/>
  <c r="F49" i="2"/>
  <c r="E49" i="2"/>
  <c r="A35" i="4" s="1"/>
  <c r="D49" i="2"/>
  <c r="B35" i="4" s="1"/>
  <c r="H48" i="2"/>
  <c r="F48" i="2"/>
  <c r="G48" i="2" s="1"/>
  <c r="E48" i="2"/>
  <c r="A34" i="4" s="1"/>
  <c r="D48" i="2"/>
  <c r="B34" i="4" s="1"/>
  <c r="H47" i="2"/>
  <c r="G47" i="2"/>
  <c r="F47" i="2"/>
  <c r="E47" i="2"/>
  <c r="A33" i="4" s="1"/>
  <c r="D47" i="2"/>
  <c r="B33" i="4" s="1"/>
  <c r="H46" i="2"/>
  <c r="F46" i="2"/>
  <c r="G46" i="2" s="1"/>
  <c r="E46" i="2"/>
  <c r="D46" i="2"/>
  <c r="H45" i="2"/>
  <c r="G45" i="2"/>
  <c r="F45" i="2"/>
  <c r="E45" i="2"/>
  <c r="A31" i="4" s="1"/>
  <c r="D45" i="2"/>
  <c r="B31" i="4" s="1"/>
  <c r="H44" i="2"/>
  <c r="F44" i="2"/>
  <c r="G44" i="2" s="1"/>
  <c r="E44" i="2"/>
  <c r="A30" i="4" s="1"/>
  <c r="D44" i="2"/>
  <c r="B30" i="4" s="1"/>
  <c r="H43" i="2"/>
  <c r="G43" i="2"/>
  <c r="I43" i="2" s="1"/>
  <c r="F43" i="2"/>
  <c r="E43" i="2"/>
  <c r="A29" i="4" s="1"/>
  <c r="D43" i="2"/>
  <c r="B29" i="4" s="1"/>
  <c r="H42" i="2"/>
  <c r="F42" i="2"/>
  <c r="G42" i="2" s="1"/>
  <c r="E42" i="2"/>
  <c r="A28" i="4" s="1"/>
  <c r="D42" i="2"/>
  <c r="B28" i="4" s="1"/>
  <c r="H41" i="2"/>
  <c r="G41" i="2"/>
  <c r="F41" i="2"/>
  <c r="E41" i="2"/>
  <c r="A27" i="4" s="1"/>
  <c r="D41" i="2"/>
  <c r="B27" i="4" s="1"/>
  <c r="H40" i="2"/>
  <c r="F40" i="2"/>
  <c r="G40" i="2" s="1"/>
  <c r="E40" i="2"/>
  <c r="D40" i="2"/>
  <c r="H39" i="2"/>
  <c r="G39" i="2"/>
  <c r="I39" i="2" s="1"/>
  <c r="F39" i="2"/>
  <c r="E39" i="2"/>
  <c r="D39" i="2"/>
  <c r="H38" i="2"/>
  <c r="F38" i="2"/>
  <c r="G38" i="2" s="1"/>
  <c r="E38" i="2"/>
  <c r="A26" i="4" s="1"/>
  <c r="D38" i="2"/>
  <c r="B26" i="4" s="1"/>
  <c r="H37" i="2"/>
  <c r="F37" i="2"/>
  <c r="G37" i="2" s="1"/>
  <c r="E37" i="2"/>
  <c r="A25" i="4" s="1"/>
  <c r="D37" i="2"/>
  <c r="B25" i="4" s="1"/>
  <c r="H36" i="2"/>
  <c r="G36" i="2"/>
  <c r="F36" i="2"/>
  <c r="E36" i="2"/>
  <c r="A24" i="4" s="1"/>
  <c r="D36" i="2"/>
  <c r="B24" i="4" s="1"/>
  <c r="H35" i="2"/>
  <c r="F35" i="2"/>
  <c r="G35" i="2" s="1"/>
  <c r="E35" i="2"/>
  <c r="A23" i="4" s="1"/>
  <c r="D35" i="2"/>
  <c r="B23" i="4" s="1"/>
  <c r="H34" i="2"/>
  <c r="G34" i="2"/>
  <c r="F34" i="2"/>
  <c r="E34" i="2"/>
  <c r="A22" i="4" s="1"/>
  <c r="D34" i="2"/>
  <c r="B22" i="4" s="1"/>
  <c r="H33" i="2"/>
  <c r="F33" i="2"/>
  <c r="G33" i="2" s="1"/>
  <c r="E33" i="2"/>
  <c r="A21" i="4" s="1"/>
  <c r="D33" i="2"/>
  <c r="B21" i="4" s="1"/>
  <c r="H32" i="2"/>
  <c r="G32" i="2"/>
  <c r="F32" i="2"/>
  <c r="E32" i="2"/>
  <c r="A20" i="4" s="1"/>
  <c r="D32" i="2"/>
  <c r="B20" i="4" s="1"/>
  <c r="H31" i="2"/>
  <c r="F31" i="2"/>
  <c r="G31" i="2" s="1"/>
  <c r="E31" i="2"/>
  <c r="A19" i="4" s="1"/>
  <c r="D31" i="2"/>
  <c r="B19" i="4" s="1"/>
  <c r="H30" i="2"/>
  <c r="G30" i="2"/>
  <c r="F30" i="2"/>
  <c r="E30" i="2"/>
  <c r="A18" i="4" s="1"/>
  <c r="D30" i="2"/>
  <c r="B18" i="4" s="1"/>
  <c r="H29" i="2"/>
  <c r="F29" i="2"/>
  <c r="G29" i="2" s="1"/>
  <c r="E29" i="2"/>
  <c r="A17" i="4" s="1"/>
  <c r="D29" i="2"/>
  <c r="B17" i="4" s="1"/>
  <c r="H28" i="2"/>
  <c r="G28" i="2"/>
  <c r="F28" i="2"/>
  <c r="E28" i="2"/>
  <c r="D28" i="2"/>
  <c r="H27" i="2"/>
  <c r="F27" i="2"/>
  <c r="G27" i="2" s="1"/>
  <c r="E27" i="2"/>
  <c r="D27" i="2"/>
  <c r="H26" i="2"/>
  <c r="G26" i="2"/>
  <c r="I26" i="2" s="1"/>
  <c r="F26" i="2"/>
  <c r="E26" i="2"/>
  <c r="A16" i="4" s="1"/>
  <c r="D26" i="2"/>
  <c r="B16" i="4" s="1"/>
  <c r="H25" i="2"/>
  <c r="F25" i="2"/>
  <c r="G25" i="2" s="1"/>
  <c r="E25" i="2"/>
  <c r="A15" i="4" s="1"/>
  <c r="D25" i="2"/>
  <c r="B15" i="4" s="1"/>
  <c r="H24" i="2"/>
  <c r="G24" i="2"/>
  <c r="F24" i="2"/>
  <c r="E24" i="2"/>
  <c r="D24" i="2"/>
  <c r="B14" i="4" s="1"/>
  <c r="H23" i="2"/>
  <c r="F23" i="2"/>
  <c r="G23" i="2" s="1"/>
  <c r="E23" i="2"/>
  <c r="A13" i="4" s="1"/>
  <c r="D23" i="2"/>
  <c r="B13" i="4" s="1"/>
  <c r="H22" i="2"/>
  <c r="G22" i="2"/>
  <c r="F22" i="2"/>
  <c r="E22" i="2"/>
  <c r="A12" i="4" s="1"/>
  <c r="D22" i="2"/>
  <c r="B12" i="4" s="1"/>
  <c r="H21" i="2"/>
  <c r="F21" i="2"/>
  <c r="G21" i="2" s="1"/>
  <c r="E21" i="2"/>
  <c r="A11" i="4" s="1"/>
  <c r="D21" i="2"/>
  <c r="B11" i="4" s="1"/>
  <c r="H20" i="2"/>
  <c r="F20" i="2"/>
  <c r="G20" i="2" s="1"/>
  <c r="E20" i="2"/>
  <c r="A10" i="4" s="1"/>
  <c r="D20" i="2"/>
  <c r="B10" i="4" s="1"/>
  <c r="H19" i="2"/>
  <c r="F19" i="2"/>
  <c r="G19" i="2" s="1"/>
  <c r="E19" i="2"/>
  <c r="A9" i="4" s="1"/>
  <c r="D19" i="2"/>
  <c r="B9" i="4" s="1"/>
  <c r="H18" i="2"/>
  <c r="F18" i="2"/>
  <c r="G18" i="2" s="1"/>
  <c r="E18" i="2"/>
  <c r="A8" i="4" s="1"/>
  <c r="D18" i="2"/>
  <c r="B8" i="4" s="1"/>
  <c r="H17" i="2"/>
  <c r="F17" i="2"/>
  <c r="G17" i="2" s="1"/>
  <c r="E17" i="2"/>
  <c r="A7" i="4" s="1"/>
  <c r="D17" i="2"/>
  <c r="B7" i="4" s="1"/>
  <c r="H16" i="2"/>
  <c r="F16" i="2"/>
  <c r="G16" i="2" s="1"/>
  <c r="E16" i="2"/>
  <c r="D16" i="2"/>
  <c r="H15" i="2"/>
  <c r="F15" i="2"/>
  <c r="G15" i="2" s="1"/>
  <c r="E15" i="2"/>
  <c r="D15" i="2"/>
  <c r="H14" i="2"/>
  <c r="F14" i="2"/>
  <c r="G14" i="2" s="1"/>
  <c r="E14" i="2"/>
  <c r="A6" i="4" s="1"/>
  <c r="D14" i="2"/>
  <c r="B6" i="4" s="1"/>
  <c r="H13" i="2"/>
  <c r="F13" i="2"/>
  <c r="G13" i="2" s="1"/>
  <c r="H12" i="2"/>
  <c r="G12" i="2"/>
  <c r="I12" i="2" s="1"/>
  <c r="F12" i="2"/>
  <c r="H11" i="2"/>
  <c r="F11" i="2"/>
  <c r="G11" i="2" s="1"/>
  <c r="O10" i="2"/>
  <c r="H10" i="2"/>
  <c r="G10" i="2"/>
  <c r="J10" i="2" s="1"/>
  <c r="F10" i="2"/>
  <c r="H9" i="2"/>
  <c r="F9" i="2"/>
  <c r="G9" i="2" s="1"/>
  <c r="H8" i="2"/>
  <c r="F8" i="2"/>
  <c r="G8" i="2" s="1"/>
  <c r="H7" i="2"/>
  <c r="F7" i="2"/>
  <c r="G7" i="2" s="1"/>
  <c r="H6" i="2"/>
  <c r="G6" i="2"/>
  <c r="I6" i="2" s="1"/>
  <c r="F6" i="2"/>
  <c r="H5" i="2"/>
  <c r="F5" i="2"/>
  <c r="G5" i="2" s="1"/>
  <c r="O4" i="2"/>
  <c r="H4" i="2"/>
  <c r="G4" i="2"/>
  <c r="J4" i="2" s="1"/>
  <c r="F4" i="2"/>
  <c r="H3" i="2"/>
  <c r="F3" i="2"/>
  <c r="G3" i="2" s="1"/>
  <c r="H2" i="2"/>
  <c r="F2" i="2"/>
  <c r="G2" i="2" s="1"/>
  <c r="I17" i="2" l="1"/>
  <c r="O17" i="2"/>
  <c r="J17" i="2"/>
  <c r="O66" i="2"/>
  <c r="J66" i="2"/>
  <c r="I66" i="2"/>
  <c r="O42" i="2"/>
  <c r="J42" i="2"/>
  <c r="I42" i="2"/>
  <c r="O50" i="2"/>
  <c r="J50" i="2"/>
  <c r="I50" i="2"/>
  <c r="O74" i="2"/>
  <c r="J74" i="2"/>
  <c r="I74" i="2"/>
  <c r="O77" i="2"/>
  <c r="J77" i="2"/>
  <c r="I77" i="2"/>
  <c r="O63" i="2"/>
  <c r="J63" i="2"/>
  <c r="I63" i="2"/>
  <c r="L6" i="2"/>
  <c r="K6" i="2"/>
  <c r="O11" i="2"/>
  <c r="J11" i="2"/>
  <c r="I11" i="2"/>
  <c r="L26" i="2"/>
  <c r="K26" i="2"/>
  <c r="O69" i="2"/>
  <c r="J69" i="2"/>
  <c r="I69" i="2"/>
  <c r="O48" i="2"/>
  <c r="J48" i="2"/>
  <c r="I48" i="2"/>
  <c r="O61" i="2"/>
  <c r="J61" i="2"/>
  <c r="I61" i="2"/>
  <c r="J15" i="2"/>
  <c r="O15" i="2"/>
  <c r="I15" i="2"/>
  <c r="O64" i="2"/>
  <c r="J64" i="2"/>
  <c r="I64" i="2"/>
  <c r="J3" i="2"/>
  <c r="I3" i="2"/>
  <c r="O3" i="2"/>
  <c r="L12" i="2"/>
  <c r="K12" i="2"/>
  <c r="O75" i="2"/>
  <c r="J75" i="2"/>
  <c r="I75" i="2"/>
  <c r="O44" i="2"/>
  <c r="J44" i="2"/>
  <c r="I44" i="2"/>
  <c r="J14" i="2"/>
  <c r="O14" i="2"/>
  <c r="I14" i="2"/>
  <c r="O87" i="2"/>
  <c r="J87" i="2"/>
  <c r="I87" i="2"/>
  <c r="O31" i="2"/>
  <c r="J31" i="2"/>
  <c r="I31" i="2"/>
  <c r="J2" i="2"/>
  <c r="I2" i="2"/>
  <c r="O2" i="2"/>
  <c r="O21" i="2"/>
  <c r="J21" i="2"/>
  <c r="I21" i="2"/>
  <c r="O40" i="2"/>
  <c r="J40" i="2"/>
  <c r="I40" i="2"/>
  <c r="J8" i="2"/>
  <c r="I8" i="2"/>
  <c r="O8" i="2"/>
  <c r="O27" i="2"/>
  <c r="J27" i="2"/>
  <c r="I27" i="2"/>
  <c r="O35" i="2"/>
  <c r="J35" i="2"/>
  <c r="I35" i="2"/>
  <c r="L43" i="2"/>
  <c r="K43" i="2"/>
  <c r="L51" i="2"/>
  <c r="K51" i="2"/>
  <c r="O52" i="2"/>
  <c r="J52" i="2"/>
  <c r="I52" i="2"/>
  <c r="N10" i="2"/>
  <c r="M10" i="2"/>
  <c r="O90" i="2"/>
  <c r="J90" i="2"/>
  <c r="I90" i="2"/>
  <c r="L39" i="2"/>
  <c r="K39" i="2"/>
  <c r="J18" i="2"/>
  <c r="I18" i="2"/>
  <c r="O18" i="2"/>
  <c r="O37" i="2"/>
  <c r="J37" i="2"/>
  <c r="I37" i="2"/>
  <c r="O88" i="2"/>
  <c r="J88" i="2"/>
  <c r="I88" i="2"/>
  <c r="J7" i="2"/>
  <c r="O7" i="2"/>
  <c r="I7" i="2"/>
  <c r="I13" i="2"/>
  <c r="O13" i="2"/>
  <c r="J13" i="2"/>
  <c r="I16" i="2"/>
  <c r="O16" i="2"/>
  <c r="J16" i="2"/>
  <c r="I19" i="2"/>
  <c r="J19" i="2"/>
  <c r="O19" i="2"/>
  <c r="O38" i="2"/>
  <c r="J38" i="2"/>
  <c r="I38" i="2"/>
  <c r="O46" i="2"/>
  <c r="J46" i="2"/>
  <c r="I46" i="2"/>
  <c r="O54" i="2"/>
  <c r="J54" i="2"/>
  <c r="I54" i="2"/>
  <c r="O86" i="2"/>
  <c r="J86" i="2"/>
  <c r="I86" i="2"/>
  <c r="O89" i="2"/>
  <c r="J89" i="2"/>
  <c r="I89" i="2"/>
  <c r="J5" i="2"/>
  <c r="O5" i="2"/>
  <c r="I5" i="2"/>
  <c r="O85" i="2"/>
  <c r="J85" i="2"/>
  <c r="I85" i="2"/>
  <c r="N4" i="2"/>
  <c r="M4" i="2"/>
  <c r="J9" i="2"/>
  <c r="I9" i="2"/>
  <c r="O9" i="2"/>
  <c r="O62" i="2"/>
  <c r="J62" i="2"/>
  <c r="I62" i="2"/>
  <c r="O65" i="2"/>
  <c r="J65" i="2"/>
  <c r="I65" i="2"/>
  <c r="O81" i="2"/>
  <c r="J81" i="2"/>
  <c r="I81" i="2"/>
  <c r="O20" i="2"/>
  <c r="J20" i="2"/>
  <c r="I20" i="2"/>
  <c r="O23" i="2"/>
  <c r="J23" i="2"/>
  <c r="I23" i="2"/>
  <c r="O29" i="2"/>
  <c r="J29" i="2"/>
  <c r="I29" i="2"/>
  <c r="O25" i="2"/>
  <c r="J25" i="2"/>
  <c r="I25" i="2"/>
  <c r="O33" i="2"/>
  <c r="J33" i="2"/>
  <c r="I33" i="2"/>
  <c r="O57" i="2"/>
  <c r="J57" i="2"/>
  <c r="I57" i="2"/>
  <c r="O73" i="2"/>
  <c r="J73" i="2"/>
  <c r="I73" i="2"/>
  <c r="O76" i="2"/>
  <c r="J76" i="2"/>
  <c r="I76" i="2"/>
  <c r="O32" i="2"/>
  <c r="J32" i="2"/>
  <c r="I32" i="2"/>
  <c r="J6" i="2"/>
  <c r="J12" i="2"/>
  <c r="O24" i="2"/>
  <c r="J24" i="2"/>
  <c r="O30" i="2"/>
  <c r="J30" i="2"/>
  <c r="O36" i="2"/>
  <c r="J36" i="2"/>
  <c r="O55" i="2"/>
  <c r="J55" i="2"/>
  <c r="I55" i="2"/>
  <c r="O67" i="2"/>
  <c r="J67" i="2"/>
  <c r="I67" i="2"/>
  <c r="O79" i="2"/>
  <c r="J79" i="2"/>
  <c r="I79" i="2"/>
  <c r="O91" i="2"/>
  <c r="J91" i="2"/>
  <c r="I91" i="2"/>
  <c r="O26" i="2"/>
  <c r="J26" i="2"/>
  <c r="O41" i="2"/>
  <c r="J41" i="2"/>
  <c r="O47" i="2"/>
  <c r="J47" i="2"/>
  <c r="O49" i="2"/>
  <c r="J49" i="2"/>
  <c r="O53" i="2"/>
  <c r="J53" i="2"/>
  <c r="O60" i="2"/>
  <c r="J60" i="2"/>
  <c r="I60" i="2"/>
  <c r="O72" i="2"/>
  <c r="J72" i="2"/>
  <c r="I72" i="2"/>
  <c r="I4" i="2"/>
  <c r="I10" i="2"/>
  <c r="I24" i="2"/>
  <c r="I30" i="2"/>
  <c r="I36" i="2"/>
  <c r="O83" i="2"/>
  <c r="J83" i="2"/>
  <c r="I83" i="2"/>
  <c r="O45" i="2"/>
  <c r="J45" i="2"/>
  <c r="O84" i="2"/>
  <c r="J84" i="2"/>
  <c r="I84" i="2"/>
  <c r="I41" i="2"/>
  <c r="I45" i="2"/>
  <c r="I47" i="2"/>
  <c r="I49" i="2"/>
  <c r="I53" i="2"/>
  <c r="O58" i="2"/>
  <c r="J58" i="2"/>
  <c r="I58" i="2"/>
  <c r="O70" i="2"/>
  <c r="J70" i="2"/>
  <c r="I70" i="2"/>
  <c r="O82" i="2"/>
  <c r="J82" i="2"/>
  <c r="I82" i="2"/>
  <c r="O71" i="2"/>
  <c r="J71" i="2"/>
  <c r="I71" i="2"/>
  <c r="O43" i="2"/>
  <c r="J43" i="2"/>
  <c r="O51" i="2"/>
  <c r="J51" i="2"/>
  <c r="O6" i="2"/>
  <c r="O12" i="2"/>
  <c r="O22" i="2"/>
  <c r="J22" i="2"/>
  <c r="O28" i="2"/>
  <c r="J28" i="2"/>
  <c r="O34" i="2"/>
  <c r="J34" i="2"/>
  <c r="O39" i="2"/>
  <c r="J39" i="2"/>
  <c r="O56" i="2"/>
  <c r="J56" i="2"/>
  <c r="I56" i="2"/>
  <c r="O68" i="2"/>
  <c r="J68" i="2"/>
  <c r="I68" i="2"/>
  <c r="O80" i="2"/>
  <c r="J80" i="2"/>
  <c r="I80" i="2"/>
  <c r="I22" i="2"/>
  <c r="I28" i="2"/>
  <c r="I34" i="2"/>
  <c r="O59" i="2"/>
  <c r="J59" i="2"/>
  <c r="I59" i="2"/>
  <c r="O78" i="2"/>
  <c r="J78" i="2"/>
  <c r="I78" i="2"/>
  <c r="M22" i="2" l="1"/>
  <c r="N22" i="2"/>
  <c r="M23" i="2"/>
  <c r="N23" i="2"/>
  <c r="L87" i="2"/>
  <c r="K87" i="2"/>
  <c r="N78" i="2"/>
  <c r="M78" i="2"/>
  <c r="L4" i="2"/>
  <c r="K4" i="2"/>
  <c r="L56" i="2"/>
  <c r="K56" i="2"/>
  <c r="N48" i="2"/>
  <c r="M48" i="2"/>
  <c r="L63" i="2"/>
  <c r="K63" i="2"/>
  <c r="L42" i="2"/>
  <c r="K42" i="2"/>
  <c r="N47" i="2"/>
  <c r="M47" i="2"/>
  <c r="N5" i="2"/>
  <c r="M5" i="2"/>
  <c r="L40" i="2"/>
  <c r="K40" i="2"/>
  <c r="N68" i="2"/>
  <c r="M68" i="2"/>
  <c r="N67" i="2"/>
  <c r="M67" i="2"/>
  <c r="L89" i="2"/>
  <c r="K89" i="2"/>
  <c r="N87" i="2"/>
  <c r="M87" i="2"/>
  <c r="N41" i="2"/>
  <c r="M41" i="2"/>
  <c r="K20" i="2"/>
  <c r="L20" i="2"/>
  <c r="N89" i="2"/>
  <c r="M89" i="2"/>
  <c r="L59" i="2"/>
  <c r="K59" i="2"/>
  <c r="N70" i="2"/>
  <c r="M70" i="2"/>
  <c r="N72" i="2"/>
  <c r="M72" i="2"/>
  <c r="L55" i="2"/>
  <c r="K55" i="2"/>
  <c r="M32" i="2"/>
  <c r="N32" i="2"/>
  <c r="N33" i="2"/>
  <c r="M33" i="2"/>
  <c r="N20" i="2"/>
  <c r="M20" i="2"/>
  <c r="L9" i="2"/>
  <c r="K9" i="2"/>
  <c r="N7" i="2"/>
  <c r="M7" i="2"/>
  <c r="L90" i="2"/>
  <c r="K90" i="2"/>
  <c r="L35" i="2"/>
  <c r="K35" i="2"/>
  <c r="L21" i="2"/>
  <c r="K21" i="2"/>
  <c r="L14" i="2"/>
  <c r="K14" i="2"/>
  <c r="L3" i="2"/>
  <c r="K3" i="2"/>
  <c r="N59" i="2"/>
  <c r="M59" i="2"/>
  <c r="N56" i="2"/>
  <c r="M56" i="2"/>
  <c r="N51" i="2"/>
  <c r="M51" i="2"/>
  <c r="N45" i="2"/>
  <c r="M45" i="2"/>
  <c r="M26" i="2"/>
  <c r="N26" i="2"/>
  <c r="N55" i="2"/>
  <c r="M55" i="2"/>
  <c r="N9" i="2"/>
  <c r="M9" i="2"/>
  <c r="L86" i="2"/>
  <c r="K86" i="2"/>
  <c r="L88" i="2"/>
  <c r="K88" i="2"/>
  <c r="N90" i="2"/>
  <c r="M90" i="2"/>
  <c r="M35" i="2"/>
  <c r="N35" i="2"/>
  <c r="N21" i="2"/>
  <c r="M21" i="2"/>
  <c r="N3" i="2"/>
  <c r="M3" i="2"/>
  <c r="N63" i="2"/>
  <c r="M63" i="2"/>
  <c r="N42" i="2"/>
  <c r="M42" i="2"/>
  <c r="L78" i="2"/>
  <c r="K78" i="2"/>
  <c r="N82" i="2"/>
  <c r="M82" i="2"/>
  <c r="L67" i="2"/>
  <c r="K67" i="2"/>
  <c r="N57" i="2"/>
  <c r="M57" i="2"/>
  <c r="N18" i="2"/>
  <c r="M18" i="2"/>
  <c r="N61" i="2"/>
  <c r="M61" i="2"/>
  <c r="L84" i="2"/>
  <c r="K84" i="2"/>
  <c r="N40" i="2"/>
  <c r="M40" i="2"/>
  <c r="L54" i="2"/>
  <c r="K54" i="2"/>
  <c r="L37" i="2"/>
  <c r="K37" i="2"/>
  <c r="N27" i="2"/>
  <c r="M27" i="2"/>
  <c r="B7" i="3"/>
  <c r="L2" i="2"/>
  <c r="K2" i="2"/>
  <c r="B8" i="3" s="1"/>
  <c r="B5" i="3"/>
  <c r="B26" i="3" s="1"/>
  <c r="N77" i="2"/>
  <c r="M77" i="2"/>
  <c r="N66" i="2"/>
  <c r="M66" i="2"/>
  <c r="K22" i="2"/>
  <c r="L22" i="2"/>
  <c r="M34" i="2"/>
  <c r="N34" i="2"/>
  <c r="L71" i="2"/>
  <c r="K71" i="2"/>
  <c r="L53" i="2"/>
  <c r="K53" i="2"/>
  <c r="N53" i="2"/>
  <c r="M53" i="2"/>
  <c r="M30" i="2"/>
  <c r="N30" i="2"/>
  <c r="L73" i="2"/>
  <c r="K73" i="2"/>
  <c r="K29" i="2"/>
  <c r="L29" i="2"/>
  <c r="L65" i="2"/>
  <c r="K65" i="2"/>
  <c r="N85" i="2"/>
  <c r="M85" i="2"/>
  <c r="N54" i="2"/>
  <c r="M54" i="2"/>
  <c r="M37" i="2"/>
  <c r="N37" i="2"/>
  <c r="L52" i="2"/>
  <c r="K52" i="2"/>
  <c r="C7" i="3"/>
  <c r="C17" i="3" s="1"/>
  <c r="M2" i="2"/>
  <c r="C5" i="3"/>
  <c r="N2" i="2"/>
  <c r="K15" i="2"/>
  <c r="L15" i="2"/>
  <c r="L10" i="2"/>
  <c r="K10" i="2"/>
  <c r="N62" i="2"/>
  <c r="M62" i="2"/>
  <c r="N6" i="2"/>
  <c r="C10" i="3" s="1"/>
  <c r="C14" i="3" s="1"/>
  <c r="M6" i="2"/>
  <c r="C8" i="3" s="1"/>
  <c r="N84" i="2"/>
  <c r="M84" i="2"/>
  <c r="L33" i="2"/>
  <c r="K33" i="2"/>
  <c r="L81" i="2"/>
  <c r="K81" i="2"/>
  <c r="N19" i="2"/>
  <c r="M19" i="2"/>
  <c r="N14" i="2"/>
  <c r="M14" i="2"/>
  <c r="L64" i="2"/>
  <c r="K64" i="2"/>
  <c r="N39" i="2"/>
  <c r="M39" i="2"/>
  <c r="N58" i="2"/>
  <c r="M58" i="2"/>
  <c r="N60" i="2"/>
  <c r="M60" i="2"/>
  <c r="N36" i="2"/>
  <c r="M36" i="2"/>
  <c r="N25" i="2"/>
  <c r="M25" i="2"/>
  <c r="K27" i="2"/>
  <c r="L27" i="2"/>
  <c r="L44" i="2"/>
  <c r="K44" i="2"/>
  <c r="N69" i="2"/>
  <c r="M69" i="2"/>
  <c r="L77" i="2"/>
  <c r="K77" i="2"/>
  <c r="N83" i="2"/>
  <c r="M83" i="2"/>
  <c r="N91" i="2"/>
  <c r="M91" i="2"/>
  <c r="N16" i="2"/>
  <c r="M16" i="2"/>
  <c r="L80" i="2"/>
  <c r="K80" i="2"/>
  <c r="N71" i="2"/>
  <c r="M71" i="2"/>
  <c r="L49" i="2"/>
  <c r="K49" i="2"/>
  <c r="L36" i="2"/>
  <c r="K36" i="2"/>
  <c r="L79" i="2"/>
  <c r="K79" i="2"/>
  <c r="N73" i="2"/>
  <c r="M73" i="2"/>
  <c r="M29" i="2"/>
  <c r="N29" i="2"/>
  <c r="N65" i="2"/>
  <c r="M65" i="2"/>
  <c r="K16" i="2"/>
  <c r="L16" i="2"/>
  <c r="N52" i="2"/>
  <c r="M52" i="2"/>
  <c r="K31" i="2"/>
  <c r="L31" i="2"/>
  <c r="L75" i="2"/>
  <c r="K75" i="2"/>
  <c r="L74" i="2"/>
  <c r="K74" i="2"/>
  <c r="N17" i="2"/>
  <c r="M17" i="2"/>
  <c r="L41" i="2"/>
  <c r="K41" i="2"/>
  <c r="L50" i="2"/>
  <c r="K50" i="2"/>
  <c r="K7" i="2"/>
  <c r="L7" i="2"/>
  <c r="L72" i="2"/>
  <c r="K72" i="2"/>
  <c r="L48" i="2"/>
  <c r="K48" i="2"/>
  <c r="L58" i="2"/>
  <c r="K58" i="2"/>
  <c r="K25" i="2"/>
  <c r="L25" i="2"/>
  <c r="N86" i="2"/>
  <c r="M86" i="2"/>
  <c r="K34" i="2"/>
  <c r="L34" i="2"/>
  <c r="N43" i="2"/>
  <c r="M43" i="2"/>
  <c r="L83" i="2"/>
  <c r="K83" i="2"/>
  <c r="L91" i="2"/>
  <c r="K91" i="2"/>
  <c r="N76" i="2"/>
  <c r="M76" i="2"/>
  <c r="N81" i="2"/>
  <c r="M81" i="2"/>
  <c r="K19" i="2"/>
  <c r="L19" i="2"/>
  <c r="N64" i="2"/>
  <c r="M64" i="2"/>
  <c r="L66" i="2"/>
  <c r="K66" i="2"/>
  <c r="K28" i="2"/>
  <c r="L28" i="2"/>
  <c r="L85" i="2"/>
  <c r="K85" i="2"/>
  <c r="N44" i="2"/>
  <c r="M44" i="2"/>
  <c r="N80" i="2"/>
  <c r="M80" i="2"/>
  <c r="N28" i="2"/>
  <c r="M28" i="2"/>
  <c r="L47" i="2"/>
  <c r="K47" i="2"/>
  <c r="L30" i="2"/>
  <c r="K30" i="2"/>
  <c r="N49" i="2"/>
  <c r="M49" i="2"/>
  <c r="N79" i="2"/>
  <c r="M79" i="2"/>
  <c r="M24" i="2"/>
  <c r="N24" i="2"/>
  <c r="L5" i="2"/>
  <c r="B10" i="3" s="1"/>
  <c r="B14" i="3" s="1"/>
  <c r="K5" i="2"/>
  <c r="B6" i="3" s="1"/>
  <c r="B16" i="3" s="1"/>
  <c r="L46" i="2"/>
  <c r="K46" i="2"/>
  <c r="N13" i="2"/>
  <c r="M13" i="2"/>
  <c r="K8" i="2"/>
  <c r="L8" i="2"/>
  <c r="N31" i="2"/>
  <c r="M31" i="2"/>
  <c r="N75" i="2"/>
  <c r="M75" i="2"/>
  <c r="N15" i="2"/>
  <c r="M15" i="2"/>
  <c r="C9" i="3" s="1"/>
  <c r="L11" i="2"/>
  <c r="K11" i="2"/>
  <c r="N74" i="2"/>
  <c r="M74" i="2"/>
  <c r="L68" i="2"/>
  <c r="K68" i="2"/>
  <c r="N12" i="2"/>
  <c r="M12" i="2"/>
  <c r="K13" i="2"/>
  <c r="L13" i="2"/>
  <c r="L38" i="2"/>
  <c r="K38" i="2"/>
  <c r="N50" i="2"/>
  <c r="M50" i="2"/>
  <c r="L70" i="2"/>
  <c r="K70" i="2"/>
  <c r="L32" i="2"/>
  <c r="K32" i="2"/>
  <c r="M38" i="2"/>
  <c r="N38" i="2"/>
  <c r="L60" i="2"/>
  <c r="K60" i="2"/>
  <c r="L76" i="2"/>
  <c r="K76" i="2"/>
  <c r="N88" i="2"/>
  <c r="M88" i="2"/>
  <c r="L69" i="2"/>
  <c r="K69" i="2"/>
  <c r="L82" i="2"/>
  <c r="K82" i="2"/>
  <c r="L45" i="2"/>
  <c r="K45" i="2"/>
  <c r="L24" i="2"/>
  <c r="K24" i="2"/>
  <c r="L57" i="2"/>
  <c r="K57" i="2"/>
  <c r="L23" i="2"/>
  <c r="K23" i="2"/>
  <c r="L62" i="2"/>
  <c r="K62" i="2"/>
  <c r="N46" i="2"/>
  <c r="M46" i="2"/>
  <c r="K18" i="2"/>
  <c r="L18" i="2"/>
  <c r="M8" i="2"/>
  <c r="N8" i="2"/>
  <c r="L61" i="2"/>
  <c r="K61" i="2"/>
  <c r="N11" i="2"/>
  <c r="M11" i="2"/>
  <c r="K17" i="2"/>
  <c r="L17" i="2"/>
  <c r="B13" i="3" l="1"/>
  <c r="B9" i="3"/>
  <c r="B15" i="3" s="1"/>
  <c r="C6" i="3"/>
  <c r="C16" i="3" s="1"/>
  <c r="B17" i="3"/>
  <c r="B20" i="3" l="1"/>
  <c r="B23" i="3" s="1"/>
  <c r="B22" i="3"/>
  <c r="C15" i="3"/>
  <c r="C13" i="3"/>
  <c r="C20" i="3" l="1"/>
  <c r="C22" i="3"/>
  <c r="B21" i="3"/>
  <c r="B33" i="3" l="1"/>
  <c r="C23" i="3"/>
  <c r="B27" i="3" s="1"/>
  <c r="C21" i="3"/>
  <c r="B29" i="3" s="1"/>
  <c r="B28" i="3" l="1"/>
  <c r="B30" i="3" s="1"/>
  <c r="B31" i="3" s="1"/>
  <c r="B34" i="3"/>
  <c r="B35" i="3" s="1"/>
  <c r="B36" i="3" s="1"/>
</calcChain>
</file>

<file path=xl/sharedStrings.xml><?xml version="1.0" encoding="utf-8"?>
<sst xmlns="http://schemas.openxmlformats.org/spreadsheetml/2006/main" count="194" uniqueCount="190">
  <si>
    <t>Teradyne — primary research regression</t>
  </si>
  <si>
    <t>Test-house revenue growth against assembly revenue growth, Taiwan</t>
  </si>
  <si>
    <t>Purpose</t>
  </si>
  <si>
    <t>Tests whether the relationship between independent test-house revenue growth and assembly revenue</t>
  </si>
  <si>
    <t>growth changed after the AI ramp. Two regressions are fitted, one per regime, and the difference in</t>
  </si>
  <si>
    <t>intercepts is tested formally. Every figure below recalculates from the raw revenue on the Data tab.</t>
  </si>
  <si>
    <t>Source</t>
  </si>
  <si>
    <t>Taiwan Stock Exchange Market Observation Post System (MOPS), statutory monthly revenue filings,</t>
  </si>
  <si>
    <t>January 2019 to June 2026. Test houses: King Yuan Electronics (2449), Sigurd Microelectronics (6257),</t>
  </si>
  <si>
    <t>Ardentec (3264), summed. Assembly benchmark: ASE Technology Holding (3711).</t>
  </si>
  <si>
    <t>Method</t>
  </si>
  <si>
    <t>1.  Year-on-year growth is computed on a 12-month lag from raw monthly revenue.</t>
  </si>
  <si>
    <t>2.  February and March are excluded in every year and both regimes. Lunar New Year moves between</t>
  </si>
  <si>
    <t xml:space="preserve">     those two months, so year-on-year comparison in that window is unreliable. The rule is applied on</t>
  </si>
  <si>
    <t xml:space="preserve">     the calendar, uniformly, and was not chosen by inspecting residuals.</t>
  </si>
  <si>
    <t>3.  Regime 1 is January 2020 to December 2024; regime 2 is January 2025 to June 2026.</t>
  </si>
  <si>
    <t>4.  Ordinary least squares is computed from raw sums on the Regression tab, so each step is visible.</t>
  </si>
  <si>
    <t>Headline result</t>
  </si>
  <si>
    <t>The slope is materially unchanged between regimes; the intercept rises by about 11 percentage points.</t>
  </si>
  <si>
    <t>At any given level of assembly growth, test-house revenue now grows about 11 points faster than it did</t>
  </si>
  <si>
    <t>before 2025. See the Regression tab for the coefficients and the formal test of the difference.</t>
  </si>
  <si>
    <t>Reading the colours</t>
  </si>
  <si>
    <t>Blue text is a hardcoded input taken from the source filings. Black text is a formula.</t>
  </si>
  <si>
    <t>Caveats</t>
  </si>
  <si>
    <t>The measurement covers outsourced test services in Taiwan, not test equipment purchases.</t>
  </si>
  <si>
    <t>The assembly benchmark is ASE Technology Holding consolidated, which includes its EMS arm.</t>
  </si>
  <si>
    <t>Fourteen observations in the second regime. Overlapping year-on-year windows leave residuals</t>
  </si>
  <si>
    <t>autocorrelated; the p-value below uses classical standard errors and is the conservative reading.</t>
  </si>
  <si>
    <t>Month</t>
  </si>
  <si>
    <t>Test houses
(NT$'000)</t>
  </si>
  <si>
    <t>Assembly ASE
(NT$'000)</t>
  </si>
  <si>
    <t>Test y/y
(%)</t>
  </si>
  <si>
    <t>Assembly y/y
(%)</t>
  </si>
  <si>
    <t>Cal.
month</t>
  </si>
  <si>
    <t>Include?</t>
  </si>
  <si>
    <t>Regime
(0/1)</t>
  </si>
  <si>
    <t>In regime 1</t>
  </si>
  <si>
    <t>In regime 2</t>
  </si>
  <si>
    <t>x | regime 1</t>
  </si>
  <si>
    <t>y | regime 1</t>
  </si>
  <si>
    <t>x | regime 2</t>
  </si>
  <si>
    <t>y | regime 2</t>
  </si>
  <si>
    <t>Excluded because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</si>
  <si>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</si>
  <si>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</si>
  <si>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</si>
  <si>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</si>
  <si>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</si>
  <si>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</si>
  <si>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</si>
  <si>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</si>
  <si>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</si>
  <si>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</si>
  <si>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</si>
  <si>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</si>
  <si>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</si>
  <si>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</si>
  <si>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</si>
  <si>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</si>
  <si>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</si>
  <si>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</si>
  <si>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</si>
  <si>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</si>
  <si>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</si>
  <si>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</si>
  <si>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</si>
  <si>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</si>
  <si>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</si>
  <si>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</si>
  <si>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</si>
  <si>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</si>
  <si>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</si>
  <si>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</si>
  <si>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</si>
  <si>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</si>
  <si>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</si>
  <si>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</si>
  <si>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</si>
  <si>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</si>
  <si>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</si>
  <si>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</si>
  <si>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</si>
  <si>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</si>
  <si>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</si>
  <si>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</si>
  <si>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</si>
  <si>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</si>
  <si>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</si>
  <si>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</si>
  <si>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</si>
  <si>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</si>
  <si>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</si>
  <si>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</si>
  <si>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</si>
  <si>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</si>
  <si>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</si>
  <si>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</si>
  <si>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</si>
  <si>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</si>
  <si>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</si>
  <si>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</si>
  <si>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</si>
  <si>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</si>
  <si>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</si>
  <si>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</si>
  <si>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</si>
  <si>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</si>
  <si>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</si>
  <si>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</si>
  <si>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</si>
  <si>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</si>
  <si>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</si>
  <si>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</si>
  <si>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</si>
  <si>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</si>
  <si>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</si>
  <si>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</si>
  <si>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</si>
  <si>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</si>
  <si>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</si>
  <si>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</si>
  <si>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</si>
  <si>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</si>
  <si>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</si>
  <si>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</si>
  <si>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</si>
  <si>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</si>
  <si>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</si>
  <si>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</si>
  <si>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</si>
  <si>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</si>
  <si>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</si>
  <si>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</si>
  <si>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Blue = raw monthly revenue as filed with MOPS. Everything else is a formula.</t>
  </si>
  <si>
    <t>Include? is 0 for the first twelve months (no prior-year base) and for every February and March.</t>
  </si>
  <si>
    <t>Columns K to N zero out observations that fall outside a regime, so the sums on the Regression tab stay simple.</t>
  </si>
  <si>
    <t>Ordinary least squares, computed from raw sums</t>
  </si>
  <si>
    <t>y = test-house revenue growth (% y/y);  x = assembly revenue growth (% y/y)</t>
  </si>
  <si>
    <t>Sums over included observations</t>
  </si>
  <si>
    <t>Regime 1
2020–2024</t>
  </si>
  <si>
    <t>Regime 2
2025–2026</t>
  </si>
  <si>
    <t>n   (count of observations)</t>
  </si>
  <si>
    <t>Excludes the first 12 months and every February and March.</t>
  </si>
  <si>
    <t>Σx</t>
  </si>
  <si>
    <t>Σy</t>
  </si>
  <si>
    <t>Σx²</t>
  </si>
  <si>
    <t>Σxy</t>
  </si>
  <si>
    <t>Σy²</t>
  </si>
  <si>
    <t>Centred sums of squares</t>
  </si>
  <si>
    <t>Sxx  = Σx² − (Σx)²/n</t>
  </si>
  <si>
    <t>Syy  = Σy² − (Σy)²/n</t>
  </si>
  <si>
    <t>Sxy  = Σxy − ΣxΣy/n</t>
  </si>
  <si>
    <t>x̄  (mean of x)</t>
  </si>
  <si>
    <t>ȳ  (mean of y)</t>
  </si>
  <si>
    <t>Fitted line</t>
  </si>
  <si>
    <t>Slope   b = Sxy / Sxx</t>
  </si>
  <si>
    <t>Response of test growth to one point of assembly growth.</t>
  </si>
  <si>
    <t>Intercept  a = ȳ − b·x̄</t>
  </si>
  <si>
    <t>Test growth when assembly growth is zero. This is the finding.</t>
  </si>
  <si>
    <t>R²  = Sxy² / (Sxx·Syy)</t>
  </si>
  <si>
    <t>SSR  = Syy − b·Sxy</t>
  </si>
  <si>
    <t>Residual sum of squares, used for the test below.</t>
  </si>
  <si>
    <t>Test of the difference between regimes</t>
  </si>
  <si>
    <t>Degrees of freedom  = n₁ + n₂ − 4</t>
  </si>
  <si>
    <t>Pooled variance  s² = (SSR₁+SSR₂)/df</t>
  </si>
  <si>
    <t>Standard error of the intercept gap</t>
  </si>
  <si>
    <t>Intercept gap  a₂ − a₁</t>
  </si>
  <si>
    <t>Percentage points of extra test growth at any level of assembly growth.</t>
  </si>
  <si>
    <t>t statistic</t>
  </si>
  <si>
    <t>p value  (two-tailed)</t>
  </si>
  <si>
    <t>Classical standard errors. See the note below.</t>
  </si>
  <si>
    <t>Slope gap  b₂ − b₁</t>
  </si>
  <si>
    <t>Standard error of the slope gap</t>
  </si>
  <si>
    <t>Not significant — the slope did not change, only the level.</t>
  </si>
  <si>
    <t>Note on standard errors. The p value above uses classical OLS standard errors, which is the conservative</t>
  </si>
  <si>
    <t>reading and the one quoted in the deck. Year-on-year windows overlap, so residuals are autocorrelated;</t>
  </si>
  <si>
    <t>under heteroskedasticity- and autocorrelation-robust (Newey–West) standard errors the same gap is more</t>
  </si>
  <si>
    <t>significant, with p between 0.001 and 0.013 depending on the lag length chosen. Robust errors are not</t>
  </si>
  <si>
    <t>practical in a spreadsheet, so they are computed in the accompanying Python script rather than here.</t>
  </si>
  <si>
    <t>Robustness. The result also holds without the February and March exclusion: the gap is +9.3 points on the</t>
  </si>
  <si>
    <t>full 78-month sample. Excluding 2020 for COVID distortion widens it. No specification reverses the sign.</t>
  </si>
  <si>
    <t>Scatter data — included observations only</t>
  </si>
  <si>
    <t>Every cell below is a live reference to the Data tab. Excluded months are simply not listed, so the plot shows the fitted sample and nothing else.</t>
  </si>
  <si>
    <t>Regime 1  (2020–2024)</t>
  </si>
  <si>
    <t>Regime 2  (2025–2026)</t>
  </si>
  <si>
    <t>x  assembly y/y (%)</t>
  </si>
  <si>
    <t>y  test y/y (%)</t>
  </si>
  <si>
    <t>Trendlines are Excel linear fits on the same points; the equations shown on the chart reproduce the coefficients on the Regression tab.</t>
  </si>
  <si>
    <t>Row references are fixed to the months that pass the exclusion rule. Change the rule on the Data tab and this list must be rebuilt.</t>
  </si>
  <si>
    <t>Collected using 1. ATE Primary Research.py, which accompanies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</si>
</sst>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;\(0.0\);\-"/>
    <numFmt numFmtId="165" formatCode="0.0000"/>
    <numFmt numFmtId="166" formatCode="#,##0.0000"/>
    <numFmt numFmtId="167" formatCode="0.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sz val="11"/>
      <color rgb="FF595959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13"/>
      <color rgb="FF1F386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3" fontId="7" fillId="0" borderId="0" xfId="0" applyNumberFormat="1" applyFont="1"/>
    <xf numFmtId="164" fontId="4" fillId="0" borderId="0" xfId="0" applyNumberFormat="1" applyFont="1"/>
    <xf numFmtId="0" fontId="8" fillId="0" borderId="0" xfId="0" applyFont="1"/>
    <xf numFmtId="0" fontId="9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2" borderId="0" xfId="0" applyFill="1"/>
    <xf numFmtId="0" fontId="4" fillId="0" borderId="1" xfId="0" applyFont="1" applyBorder="1"/>
    <xf numFmtId="1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0" fontId="10" fillId="0" borderId="1" xfId="0" applyFont="1" applyBorder="1"/>
    <xf numFmtId="165" fontId="10" fillId="0" borderId="1" xfId="0" applyNumberFormat="1" applyFont="1" applyBorder="1"/>
    <xf numFmtId="0" fontId="0" fillId="0" borderId="1" xfId="0" applyBorder="1"/>
    <xf numFmtId="166" fontId="4" fillId="0" borderId="1" xfId="0" applyNumberFormat="1" applyFont="1" applyBorder="1"/>
    <xf numFmtId="167" fontId="10" fillId="0" borderId="1" xfId="0" applyNumberFormat="1" applyFont="1" applyBorder="1"/>
    <xf numFmtId="167" fontId="4" fillId="0" borderId="1" xfId="0" applyNumberFormat="1" applyFont="1" applyBorder="1"/>
    <xf numFmtId="0" fontId="10" fillId="0" borderId="0" xfId="0" applyFont="1"/>
    <xf numFmtId="2" fontId="4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Test-house revenue growth against assembly revenue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2020–2024</c:v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A6A6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0160">
                <a:solidFill>
                  <a:srgbClr val="A6A6A6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Chart!$A$6:$A$55</c:f>
              <c:numCache>
                <c:formatCode>0.00</c:formatCode>
                <c:ptCount val="50"/>
                <c:pt idx="0">
                  <c:v>-5.1982387463757052</c:v>
                </c:pt>
                <c:pt idx="1">
                  <c:v>21.519690023194691</c:v>
                </c:pt>
                <c:pt idx="2">
                  <c:v>18.825445631101445</c:v>
                </c:pt>
                <c:pt idx="3">
                  <c:v>15.476728939648886</c:v>
                </c:pt>
                <c:pt idx="4">
                  <c:v>2.6092443124319464</c:v>
                </c:pt>
                <c:pt idx="5">
                  <c:v>4.7581549681975366</c:v>
                </c:pt>
                <c:pt idx="6">
                  <c:v>6.766392354426598</c:v>
                </c:pt>
                <c:pt idx="7">
                  <c:v>23.540260222979327</c:v>
                </c:pt>
                <c:pt idx="8">
                  <c:v>31.745734769562063</c:v>
                </c:pt>
                <c:pt idx="9">
                  <c:v>29.696100008730951</c:v>
                </c:pt>
                <c:pt idx="10">
                  <c:v>30.348536599414345</c:v>
                </c:pt>
                <c:pt idx="11">
                  <c:v>17.081147403741781</c:v>
                </c:pt>
                <c:pt idx="12">
                  <c:v>18.103875094895638</c:v>
                </c:pt>
                <c:pt idx="13">
                  <c:v>18.839346271550038</c:v>
                </c:pt>
                <c:pt idx="14">
                  <c:v>24.52524686605706</c:v>
                </c:pt>
                <c:pt idx="15">
                  <c:v>20.278354927565935</c:v>
                </c:pt>
                <c:pt idx="16">
                  <c:v>22.332373258618166</c:v>
                </c:pt>
                <c:pt idx="17">
                  <c:v>10.088322601456401</c:v>
                </c:pt>
                <c:pt idx="18">
                  <c:v>19.457904528165983</c:v>
                </c:pt>
                <c:pt idx="19">
                  <c:v>18.622445830007916</c:v>
                </c:pt>
                <c:pt idx="20">
                  <c:v>18.914143326878332</c:v>
                </c:pt>
                <c:pt idx="21">
                  <c:v>17.683368257025922</c:v>
                </c:pt>
                <c:pt idx="22">
                  <c:v>27.282858103822605</c:v>
                </c:pt>
                <c:pt idx="23">
                  <c:v>33.864000737480659</c:v>
                </c:pt>
                <c:pt idx="24">
                  <c:v>25.145246279255474</c:v>
                </c:pt>
                <c:pt idx="25">
                  <c:v>26.476163499784832</c:v>
                </c:pt>
                <c:pt idx="26">
                  <c:v>24.036587791923438</c:v>
                </c:pt>
                <c:pt idx="27">
                  <c:v>21.655853406456128</c:v>
                </c:pt>
                <c:pt idx="28">
                  <c:v>-0.68734324009737113</c:v>
                </c:pt>
                <c:pt idx="29">
                  <c:v>-10.937835152844022</c:v>
                </c:pt>
                <c:pt idx="30">
                  <c:v>-7.0873157579720676</c:v>
                </c:pt>
                <c:pt idx="31">
                  <c:v>-10.952657850593706</c:v>
                </c:pt>
                <c:pt idx="32">
                  <c:v>-14.052160698557103</c:v>
                </c:pt>
                <c:pt idx="33">
                  <c:v>-19.442365005861696</c:v>
                </c:pt>
                <c:pt idx="34">
                  <c:v>-16.871682027152634</c:v>
                </c:pt>
                <c:pt idx="35">
                  <c:v>-18.067144887801522</c:v>
                </c:pt>
                <c:pt idx="36">
                  <c:v>-19.67974827419291</c:v>
                </c:pt>
                <c:pt idx="37">
                  <c:v>-12.474153034295199</c:v>
                </c:pt>
                <c:pt idx="38">
                  <c:v>-9.3130852500755701</c:v>
                </c:pt>
                <c:pt idx="39">
                  <c:v>-6.0847828414327569</c:v>
                </c:pt>
                <c:pt idx="40">
                  <c:v>5.0053800729860543</c:v>
                </c:pt>
                <c:pt idx="41">
                  <c:v>5.7831065116611624</c:v>
                </c:pt>
                <c:pt idx="42">
                  <c:v>2.7119675339262184</c:v>
                </c:pt>
                <c:pt idx="43">
                  <c:v>0.43615993391326047</c:v>
                </c:pt>
                <c:pt idx="44">
                  <c:v>6.7060895239989149</c:v>
                </c:pt>
                <c:pt idx="45">
                  <c:v>1.2451701025048445</c:v>
                </c:pt>
                <c:pt idx="46">
                  <c:v>3.8193595825721127</c:v>
                </c:pt>
                <c:pt idx="47">
                  <c:v>0.4610746245282682</c:v>
                </c:pt>
                <c:pt idx="48">
                  <c:v>-2.8908061839599819</c:v>
                </c:pt>
                <c:pt idx="49">
                  <c:v>6.0096418625416925</c:v>
                </c:pt>
              </c:numCache>
            </c:numRef>
          </c:xVal>
          <c:yVal>
            <c:numRef>
              <c:f>Chart!$B$6:$B$55</c:f>
              <c:numCache>
                <c:formatCode>0.00</c:formatCode>
                <c:ptCount val="50"/>
                <c:pt idx="0">
                  <c:v>24.926831243824399</c:v>
                </c:pt>
                <c:pt idx="1">
                  <c:v>32.941213357493403</c:v>
                </c:pt>
                <c:pt idx="2">
                  <c:v>23.533824814084436</c:v>
                </c:pt>
                <c:pt idx="3">
                  <c:v>18.60632916968472</c:v>
                </c:pt>
                <c:pt idx="4">
                  <c:v>10.703555644636232</c:v>
                </c:pt>
                <c:pt idx="5">
                  <c:v>11.946074954850783</c:v>
                </c:pt>
                <c:pt idx="6">
                  <c:v>14.648560881302441</c:v>
                </c:pt>
                <c:pt idx="7">
                  <c:v>-5.9733682948316495</c:v>
                </c:pt>
                <c:pt idx="8">
                  <c:v>12.149936029305874</c:v>
                </c:pt>
                <c:pt idx="9">
                  <c:v>11.665446254292643</c:v>
                </c:pt>
                <c:pt idx="10">
                  <c:v>23.262727767258863</c:v>
                </c:pt>
                <c:pt idx="11">
                  <c:v>17.906462365023934</c:v>
                </c:pt>
                <c:pt idx="12">
                  <c:v>21.391156913082842</c:v>
                </c:pt>
                <c:pt idx="13">
                  <c:v>3.7013042879353142</c:v>
                </c:pt>
                <c:pt idx="14">
                  <c:v>29.608358735155036</c:v>
                </c:pt>
                <c:pt idx="15">
                  <c:v>29.104229447019691</c:v>
                </c:pt>
                <c:pt idx="16">
                  <c:v>27.178285964093508</c:v>
                </c:pt>
                <c:pt idx="17">
                  <c:v>29.894312612559503</c:v>
                </c:pt>
                <c:pt idx="18">
                  <c:v>26.128231011413284</c:v>
                </c:pt>
                <c:pt idx="19">
                  <c:v>28.368379367987107</c:v>
                </c:pt>
                <c:pt idx="20">
                  <c:v>19.199788576276756</c:v>
                </c:pt>
                <c:pt idx="21">
                  <c:v>21.769559362892398</c:v>
                </c:pt>
                <c:pt idx="22">
                  <c:v>20.2148776811772</c:v>
                </c:pt>
                <c:pt idx="23">
                  <c:v>41.744227691666012</c:v>
                </c:pt>
                <c:pt idx="24">
                  <c:v>10.247558833835079</c:v>
                </c:pt>
                <c:pt idx="25">
                  <c:v>0.29026655434567505</c:v>
                </c:pt>
                <c:pt idx="26">
                  <c:v>4.1542431351446085</c:v>
                </c:pt>
                <c:pt idx="27">
                  <c:v>3.484861340849843</c:v>
                </c:pt>
                <c:pt idx="28">
                  <c:v>-0.44622527534883272</c:v>
                </c:pt>
                <c:pt idx="29">
                  <c:v>-5.6240765865563365</c:v>
                </c:pt>
                <c:pt idx="30">
                  <c:v>-12.251946792107072</c:v>
                </c:pt>
                <c:pt idx="31">
                  <c:v>-20.641549474681298</c:v>
                </c:pt>
                <c:pt idx="32">
                  <c:v>-18.295790998580696</c:v>
                </c:pt>
                <c:pt idx="33">
                  <c:v>-15.484618976645404</c:v>
                </c:pt>
                <c:pt idx="34">
                  <c:v>-12.213113304598899</c:v>
                </c:pt>
                <c:pt idx="35">
                  <c:v>-4.0529726788762988</c:v>
                </c:pt>
                <c:pt idx="36">
                  <c:v>-5.2277587909218992</c:v>
                </c:pt>
                <c:pt idx="37">
                  <c:v>-4.3179602120705489</c:v>
                </c:pt>
                <c:pt idx="38">
                  <c:v>-3.6012428378636274</c:v>
                </c:pt>
                <c:pt idx="39">
                  <c:v>-5.6598994594313723</c:v>
                </c:pt>
                <c:pt idx="40">
                  <c:v>7.637676113994285</c:v>
                </c:pt>
                <c:pt idx="41">
                  <c:v>-4.6846272257963779</c:v>
                </c:pt>
                <c:pt idx="42">
                  <c:v>-4.0056896715983452</c:v>
                </c:pt>
                <c:pt idx="43">
                  <c:v>-8.5857167671861028</c:v>
                </c:pt>
                <c:pt idx="44">
                  <c:v>-7.5204827787201944</c:v>
                </c:pt>
                <c:pt idx="45">
                  <c:v>-10.018456525749064</c:v>
                </c:pt>
                <c:pt idx="46">
                  <c:v>-9.5588631887287612</c:v>
                </c:pt>
                <c:pt idx="47">
                  <c:v>-6.4877705268310715</c:v>
                </c:pt>
                <c:pt idx="48">
                  <c:v>-4.6973765209760483</c:v>
                </c:pt>
                <c:pt idx="49">
                  <c:v>-1.4298513832810666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FE-4506-A7F9-2FBDFEA0A3B6}"/>
            </c:ext>
          </c:extLst>
        </c:ser>
        <c:ser>
          <c:idx val="1"/>
          <c:order val="1"/>
          <c:tx>
            <c:v>2025–2026</c:v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0160">
                <a:solidFill>
                  <a:srgbClr val="1F3864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Chart!$D$6:$D$19</c:f>
              <c:numCache>
                <c:formatCode>0.00</c:formatCode>
                <c:ptCount val="14"/>
                <c:pt idx="0">
                  <c:v>4.3340191128346417</c:v>
                </c:pt>
                <c:pt idx="1">
                  <c:v>13.947830120139759</c:v>
                </c:pt>
                <c:pt idx="2">
                  <c:v>3.2303083930329546</c:v>
                </c:pt>
                <c:pt idx="3">
                  <c:v>5.5134677156961631</c:v>
                </c:pt>
                <c:pt idx="4">
                  <c:v>-0.10450625644018441</c:v>
                </c:pt>
                <c:pt idx="5">
                  <c:v>6.6803003323593346</c:v>
                </c:pt>
                <c:pt idx="6">
                  <c:v>8.9634591354194484</c:v>
                </c:pt>
                <c:pt idx="7">
                  <c:v>6.7443219860041204</c:v>
                </c:pt>
                <c:pt idx="8">
                  <c:v>11.120121606549894</c:v>
                </c:pt>
                <c:pt idx="9">
                  <c:v>11.26536620744738</c:v>
                </c:pt>
                <c:pt idx="10">
                  <c:v>21.325771255838966</c:v>
                </c:pt>
                <c:pt idx="11">
                  <c:v>19.222740014526131</c:v>
                </c:pt>
                <c:pt idx="12">
                  <c:v>28.568740836032269</c:v>
                </c:pt>
                <c:pt idx="13">
                  <c:v>32.861279955266355</c:v>
                </c:pt>
              </c:numCache>
            </c:numRef>
          </c:xVal>
          <c:yVal>
            <c:numRef>
              <c:f>Chart!$E$6:$E$19</c:f>
              <c:numCache>
                <c:formatCode>0.00</c:formatCode>
                <c:ptCount val="14"/>
                <c:pt idx="0">
                  <c:v>-3.932401819574094</c:v>
                </c:pt>
                <c:pt idx="1">
                  <c:v>18.036795410969809</c:v>
                </c:pt>
                <c:pt idx="2">
                  <c:v>11.936225590706041</c:v>
                </c:pt>
                <c:pt idx="3">
                  <c:v>15.305879340619001</c:v>
                </c:pt>
                <c:pt idx="4">
                  <c:v>13.294285157596564</c:v>
                </c:pt>
                <c:pt idx="5">
                  <c:v>18.796230103876542</c:v>
                </c:pt>
                <c:pt idx="6">
                  <c:v>22.759102646436148</c:v>
                </c:pt>
                <c:pt idx="7">
                  <c:v>23.976006808700578</c:v>
                </c:pt>
                <c:pt idx="8">
                  <c:v>23.117194037282097</c:v>
                </c:pt>
                <c:pt idx="9">
                  <c:v>24.354931741641316</c:v>
                </c:pt>
                <c:pt idx="10">
                  <c:v>28.43798305020746</c:v>
                </c:pt>
                <c:pt idx="11">
                  <c:v>30.293220547698652</c:v>
                </c:pt>
                <c:pt idx="12">
                  <c:v>32.107999351743707</c:v>
                </c:pt>
                <c:pt idx="13">
                  <c:v>28.03323169828662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FE-4506-A7F9-2FBDFEA0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6483"/>
        <c:axId val="14582951"/>
      </c:scatterChart>
      <c:valAx>
        <c:axId val="214564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Assembly (ASE) revenue growth, % y/y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82951"/>
        <c:crosses val="autoZero"/>
        <c:crossBetween val="midCat"/>
      </c:valAx>
      <c:valAx>
        <c:axId val="14582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Test-house revenue growth, % y/y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564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581024</xdr:colOff>
      <xdr:row>2</xdr:row>
      <xdr:rowOff>176039</xdr:rowOff>
    </xdr:from>
    <xdr:to>
      <xdr:col>26</xdr:col>
      <xdr:colOff>179294</xdr:colOff>
      <xdr:row>37</xdr:row>
      <xdr:rowOff>112058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showGridLines="0" zoomScaleNormal="100" workbookViewId="0">
      <selection activeCell="A35" sqref="A35"/>
    </sheetView>
  </sheetViews>
  <sheetFormatPr defaultColWidth="8.7109375" defaultRowHeight="15" x14ac:dyDescent="0.25"/>
  <cols>
    <col min="1" max="1" width="108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/>
    </row>
    <row r="9" spans="1:1" x14ac:dyDescent="0.25">
      <c r="A9" s="4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26" t="s">
        <v>189</v>
      </c>
    </row>
    <row r="14" spans="1:1" x14ac:dyDescent="0.25">
      <c r="A14" s="3"/>
    </row>
    <row r="15" spans="1:1" x14ac:dyDescent="0.25">
      <c r="A15" s="4" t="s">
        <v>10</v>
      </c>
    </row>
    <row r="16" spans="1:1" x14ac:dyDescent="0.25">
      <c r="A16" s="3" t="s">
        <v>11</v>
      </c>
    </row>
    <row r="17" spans="1:1" x14ac:dyDescent="0.25">
      <c r="A17" s="3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 t="s">
        <v>15</v>
      </c>
    </row>
    <row r="21" spans="1:1" x14ac:dyDescent="0.25">
      <c r="A21" s="3" t="s">
        <v>16</v>
      </c>
    </row>
    <row r="22" spans="1:1" x14ac:dyDescent="0.25">
      <c r="A22" s="3"/>
    </row>
    <row r="23" spans="1:1" x14ac:dyDescent="0.25">
      <c r="A23" s="4" t="s">
        <v>17</v>
      </c>
    </row>
    <row r="24" spans="1:1" x14ac:dyDescent="0.25">
      <c r="A24" s="3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/>
    </row>
    <row r="28" spans="1:1" x14ac:dyDescent="0.25">
      <c r="A28" s="4" t="s">
        <v>21</v>
      </c>
    </row>
    <row r="29" spans="1:1" x14ac:dyDescent="0.25">
      <c r="A29" s="3" t="s">
        <v>22</v>
      </c>
    </row>
    <row r="30" spans="1:1" x14ac:dyDescent="0.25">
      <c r="A30" s="3"/>
    </row>
    <row r="31" spans="1:1" x14ac:dyDescent="0.25">
      <c r="A31" s="4" t="s">
        <v>23</v>
      </c>
    </row>
    <row r="32" spans="1:1" x14ac:dyDescent="0.25">
      <c r="A32" s="3" t="s">
        <v>24</v>
      </c>
    </row>
    <row r="33" spans="1:1" x14ac:dyDescent="0.25">
      <c r="A33" s="3" t="s">
        <v>25</v>
      </c>
    </row>
    <row r="34" spans="1:1" x14ac:dyDescent="0.25">
      <c r="A34" s="3" t="s">
        <v>26</v>
      </c>
    </row>
    <row r="35" spans="1:1" x14ac:dyDescent="0.25">
      <c r="A35" s="3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ColWidth="8.7109375" defaultRowHeight="15" x14ac:dyDescent="0.25"/>
  <cols>
    <col min="1" max="1" width="15.7109375" customWidth="1"/>
    <col min="2" max="14" width="14.85546875" customWidth="1"/>
    <col min="15" max="15" width="70.42578125" bestFit="1" customWidth="1"/>
  </cols>
  <sheetData>
    <row r="1" spans="1:15" ht="39.75" customHeight="1" x14ac:dyDescent="0.25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</row>
    <row r="2" spans="1:15" x14ac:dyDescent="0.25">
      <c r="A2" s="6" t="s">
        <v>43</v>
      </c>
      <c r="B2" s="7">
        <v>3037157</v>
      </c>
      <c r="C2" s="7">
        <v>33055773</v>
      </c>
      <c r="D2" s="8"/>
      <c r="E2" s="8"/>
      <c r="F2" s="3">
        <f t="shared" ref="F2:F33" si="0">VALUE(MID(A2,6,2))</f>
        <v>1</v>
      </c>
      <c r="G2" s="3">
        <f t="shared" ref="G2:G33" si="1">IF(AND(ROW()&gt;=14,F2&lt;&gt;2,F2&lt;&gt;3),1,0)</f>
        <v>0</v>
      </c>
      <c r="H2" s="3">
        <f t="shared" ref="H2:H33" si="2">IF(LEFT(A2,4)*1&gt;=2025,1,0)</f>
        <v>0</v>
      </c>
      <c r="I2" s="3">
        <f t="shared" ref="I2:I33" si="3">IF(AND(G2=1,H2=0),1,0)</f>
        <v>0</v>
      </c>
      <c r="J2" s="3">
        <f t="shared" ref="J2:J33" si="4">IF(AND(G2=1,H2=1),1,0)</f>
        <v>0</v>
      </c>
      <c r="K2" s="8">
        <f t="shared" ref="K2:K33" si="5">IF(I2=1,E2,0)</f>
        <v>0</v>
      </c>
      <c r="L2" s="8">
        <f t="shared" ref="L2:L33" si="6">IF(I2=1,D2,0)</f>
        <v>0</v>
      </c>
      <c r="M2" s="8">
        <f t="shared" ref="M2:M33" si="7">IF(J2=1,E2,0)</f>
        <v>0</v>
      </c>
      <c r="N2" s="8">
        <f t="shared" ref="N2:N33" si="8">IF(J2=1,D2,0)</f>
        <v>0</v>
      </c>
      <c r="O2" s="3" t="str">
        <f t="shared" ref="O2:O33" si="9">IF(G2=1,"",IF(ROW()&lt;14,"No prior-year base for a y/y comparison","Lunar New Year moves between Feb and Mar, so the y/y comparison is unreliable"))</f>
        <v>No prior-year base for a y/y comparison</v>
      </c>
    </row>
    <row r="3" spans="1:15" x14ac:dyDescent="0.25">
      <c r="A3" s="6" t="s">
        <v>44</v>
      </c>
      <c r="B3" s="7">
        <v>2710409</v>
      </c>
      <c r="C3" s="7">
        <v>26239644</v>
      </c>
      <c r="D3" s="8"/>
      <c r="E3" s="8"/>
      <c r="F3" s="3">
        <f t="shared" si="0"/>
        <v>2</v>
      </c>
      <c r="G3" s="3">
        <f t="shared" si="1"/>
        <v>0</v>
      </c>
      <c r="H3" s="3">
        <f t="shared" si="2"/>
        <v>0</v>
      </c>
      <c r="I3" s="3">
        <f t="shared" si="3"/>
        <v>0</v>
      </c>
      <c r="J3" s="3">
        <f t="shared" si="4"/>
        <v>0</v>
      </c>
      <c r="K3" s="8">
        <f t="shared" si="5"/>
        <v>0</v>
      </c>
      <c r="L3" s="8">
        <f t="shared" si="6"/>
        <v>0</v>
      </c>
      <c r="M3" s="8">
        <f t="shared" si="7"/>
        <v>0</v>
      </c>
      <c r="N3" s="8">
        <f t="shared" si="8"/>
        <v>0</v>
      </c>
      <c r="O3" s="3" t="str">
        <f t="shared" si="9"/>
        <v>No prior-year base for a y/y comparison</v>
      </c>
    </row>
    <row r="4" spans="1:15" x14ac:dyDescent="0.25">
      <c r="A4" s="6" t="s">
        <v>45</v>
      </c>
      <c r="B4" s="7">
        <v>3306280</v>
      </c>
      <c r="C4" s="7">
        <v>29566029</v>
      </c>
      <c r="D4" s="8"/>
      <c r="E4" s="8"/>
      <c r="F4" s="3">
        <f t="shared" si="0"/>
        <v>3</v>
      </c>
      <c r="G4" s="3">
        <f t="shared" si="1"/>
        <v>0</v>
      </c>
      <c r="H4" s="3">
        <f t="shared" si="2"/>
        <v>0</v>
      </c>
      <c r="I4" s="3">
        <f t="shared" si="3"/>
        <v>0</v>
      </c>
      <c r="J4" s="3">
        <f t="shared" si="4"/>
        <v>0</v>
      </c>
      <c r="K4" s="8">
        <f t="shared" si="5"/>
        <v>0</v>
      </c>
      <c r="L4" s="8">
        <f t="shared" si="6"/>
        <v>0</v>
      </c>
      <c r="M4" s="8">
        <f t="shared" si="7"/>
        <v>0</v>
      </c>
      <c r="N4" s="8">
        <f t="shared" si="8"/>
        <v>0</v>
      </c>
      <c r="O4" s="3" t="str">
        <f t="shared" si="9"/>
        <v>No prior-year base for a y/y comparison</v>
      </c>
    </row>
    <row r="5" spans="1:15" x14ac:dyDescent="0.25">
      <c r="A5" s="6" t="s">
        <v>46</v>
      </c>
      <c r="B5" s="7">
        <v>3221293</v>
      </c>
      <c r="C5" s="7">
        <v>29051464</v>
      </c>
      <c r="D5" s="8"/>
      <c r="E5" s="8"/>
      <c r="F5" s="3">
        <f t="shared" si="0"/>
        <v>4</v>
      </c>
      <c r="G5" s="3">
        <f t="shared" si="1"/>
        <v>0</v>
      </c>
      <c r="H5" s="3">
        <f t="shared" si="2"/>
        <v>0</v>
      </c>
      <c r="I5" s="3">
        <f t="shared" si="3"/>
        <v>0</v>
      </c>
      <c r="J5" s="3">
        <f t="shared" si="4"/>
        <v>0</v>
      </c>
      <c r="K5" s="8">
        <f t="shared" si="5"/>
        <v>0</v>
      </c>
      <c r="L5" s="8">
        <f t="shared" si="6"/>
        <v>0</v>
      </c>
      <c r="M5" s="8">
        <f t="shared" si="7"/>
        <v>0</v>
      </c>
      <c r="N5" s="8">
        <f t="shared" si="8"/>
        <v>0</v>
      </c>
      <c r="O5" s="3" t="str">
        <f t="shared" si="9"/>
        <v>No prior-year base for a y/y comparison</v>
      </c>
    </row>
    <row r="6" spans="1:15" x14ac:dyDescent="0.25">
      <c r="A6" s="6" t="s">
        <v>47</v>
      </c>
      <c r="B6" s="7">
        <v>3477654</v>
      </c>
      <c r="C6" s="7">
        <v>30118129</v>
      </c>
      <c r="D6" s="8"/>
      <c r="E6" s="8"/>
      <c r="F6" s="3">
        <f t="shared" si="0"/>
        <v>5</v>
      </c>
      <c r="G6" s="3">
        <f t="shared" si="1"/>
        <v>0</v>
      </c>
      <c r="H6" s="3">
        <f t="shared" si="2"/>
        <v>0</v>
      </c>
      <c r="I6" s="3">
        <f t="shared" si="3"/>
        <v>0</v>
      </c>
      <c r="J6" s="3">
        <f t="shared" si="4"/>
        <v>0</v>
      </c>
      <c r="K6" s="8">
        <f t="shared" si="5"/>
        <v>0</v>
      </c>
      <c r="L6" s="8">
        <f t="shared" si="6"/>
        <v>0</v>
      </c>
      <c r="M6" s="8">
        <f t="shared" si="7"/>
        <v>0</v>
      </c>
      <c r="N6" s="8">
        <f t="shared" si="8"/>
        <v>0</v>
      </c>
      <c r="O6" s="3" t="str">
        <f t="shared" si="9"/>
        <v>No prior-year base for a y/y comparison</v>
      </c>
    </row>
    <row r="7" spans="1:15" x14ac:dyDescent="0.25">
      <c r="A7" s="6" t="s">
        <v>48</v>
      </c>
      <c r="B7" s="7">
        <v>3586758</v>
      </c>
      <c r="C7" s="7">
        <v>31571316</v>
      </c>
      <c r="D7" s="8"/>
      <c r="E7" s="8"/>
      <c r="F7" s="3">
        <f t="shared" si="0"/>
        <v>6</v>
      </c>
      <c r="G7" s="3">
        <f t="shared" si="1"/>
        <v>0</v>
      </c>
      <c r="H7" s="3">
        <f t="shared" si="2"/>
        <v>0</v>
      </c>
      <c r="I7" s="3">
        <f t="shared" si="3"/>
        <v>0</v>
      </c>
      <c r="J7" s="3">
        <f t="shared" si="4"/>
        <v>0</v>
      </c>
      <c r="K7" s="8">
        <f t="shared" si="5"/>
        <v>0</v>
      </c>
      <c r="L7" s="8">
        <f t="shared" si="6"/>
        <v>0</v>
      </c>
      <c r="M7" s="8">
        <f t="shared" si="7"/>
        <v>0</v>
      </c>
      <c r="N7" s="8">
        <f t="shared" si="8"/>
        <v>0</v>
      </c>
      <c r="O7" s="3" t="str">
        <f t="shared" si="9"/>
        <v>No prior-year base for a y/y comparison</v>
      </c>
    </row>
    <row r="8" spans="1:15" x14ac:dyDescent="0.25">
      <c r="A8" s="6" t="s">
        <v>49</v>
      </c>
      <c r="B8" s="7">
        <v>3896593</v>
      </c>
      <c r="C8" s="7">
        <v>36376356</v>
      </c>
      <c r="D8" s="8"/>
      <c r="E8" s="8"/>
      <c r="F8" s="3">
        <f t="shared" si="0"/>
        <v>7</v>
      </c>
      <c r="G8" s="3">
        <f t="shared" si="1"/>
        <v>0</v>
      </c>
      <c r="H8" s="3">
        <f t="shared" si="2"/>
        <v>0</v>
      </c>
      <c r="I8" s="3">
        <f t="shared" si="3"/>
        <v>0</v>
      </c>
      <c r="J8" s="3">
        <f t="shared" si="4"/>
        <v>0</v>
      </c>
      <c r="K8" s="8">
        <f t="shared" si="5"/>
        <v>0</v>
      </c>
      <c r="L8" s="8">
        <f t="shared" si="6"/>
        <v>0</v>
      </c>
      <c r="M8" s="8">
        <f t="shared" si="7"/>
        <v>0</v>
      </c>
      <c r="N8" s="8">
        <f t="shared" si="8"/>
        <v>0</v>
      </c>
      <c r="O8" s="3" t="str">
        <f t="shared" si="9"/>
        <v>No prior-year base for a y/y comparison</v>
      </c>
    </row>
    <row r="9" spans="1:15" x14ac:dyDescent="0.25">
      <c r="A9" s="6" t="s">
        <v>50</v>
      </c>
      <c r="B9" s="7">
        <v>3991763</v>
      </c>
      <c r="C9" s="7">
        <v>40039028</v>
      </c>
      <c r="D9" s="8"/>
      <c r="E9" s="8"/>
      <c r="F9" s="3">
        <f t="shared" si="0"/>
        <v>8</v>
      </c>
      <c r="G9" s="3">
        <f t="shared" si="1"/>
        <v>0</v>
      </c>
      <c r="H9" s="3">
        <f t="shared" si="2"/>
        <v>0</v>
      </c>
      <c r="I9" s="3">
        <f t="shared" si="3"/>
        <v>0</v>
      </c>
      <c r="J9" s="3">
        <f t="shared" si="4"/>
        <v>0</v>
      </c>
      <c r="K9" s="8">
        <f t="shared" si="5"/>
        <v>0</v>
      </c>
      <c r="L9" s="8">
        <f t="shared" si="6"/>
        <v>0</v>
      </c>
      <c r="M9" s="8">
        <f t="shared" si="7"/>
        <v>0</v>
      </c>
      <c r="N9" s="8">
        <f t="shared" si="8"/>
        <v>0</v>
      </c>
      <c r="O9" s="3" t="str">
        <f t="shared" si="9"/>
        <v>No prior-year base for a y/y comparison</v>
      </c>
    </row>
    <row r="10" spans="1:15" x14ac:dyDescent="0.25">
      <c r="A10" s="6" t="s">
        <v>51</v>
      </c>
      <c r="B10" s="7">
        <v>3838773</v>
      </c>
      <c r="C10" s="7">
        <v>41141924</v>
      </c>
      <c r="D10" s="8"/>
      <c r="E10" s="8"/>
      <c r="F10" s="3">
        <f t="shared" si="0"/>
        <v>9</v>
      </c>
      <c r="G10" s="3">
        <f t="shared" si="1"/>
        <v>0</v>
      </c>
      <c r="H10" s="3">
        <f t="shared" si="2"/>
        <v>0</v>
      </c>
      <c r="I10" s="3">
        <f t="shared" si="3"/>
        <v>0</v>
      </c>
      <c r="J10" s="3">
        <f t="shared" si="4"/>
        <v>0</v>
      </c>
      <c r="K10" s="8">
        <f t="shared" si="5"/>
        <v>0</v>
      </c>
      <c r="L10" s="8">
        <f t="shared" si="6"/>
        <v>0</v>
      </c>
      <c r="M10" s="8">
        <f t="shared" si="7"/>
        <v>0</v>
      </c>
      <c r="N10" s="8">
        <f t="shared" si="8"/>
        <v>0</v>
      </c>
      <c r="O10" s="3" t="str">
        <f t="shared" si="9"/>
        <v>No prior-year base for a y/y comparison</v>
      </c>
    </row>
    <row r="11" spans="1:15" x14ac:dyDescent="0.25">
      <c r="A11" s="6" t="s">
        <v>52</v>
      </c>
      <c r="B11" s="7">
        <v>4564259</v>
      </c>
      <c r="C11" s="7">
        <v>38784584</v>
      </c>
      <c r="D11" s="8"/>
      <c r="E11" s="8"/>
      <c r="F11" s="3">
        <f t="shared" si="0"/>
        <v>10</v>
      </c>
      <c r="G11" s="3">
        <f t="shared" si="1"/>
        <v>0</v>
      </c>
      <c r="H11" s="3">
        <f t="shared" si="2"/>
        <v>0</v>
      </c>
      <c r="I11" s="3">
        <f t="shared" si="3"/>
        <v>0</v>
      </c>
      <c r="J11" s="3">
        <f t="shared" si="4"/>
        <v>0</v>
      </c>
      <c r="K11" s="8">
        <f t="shared" si="5"/>
        <v>0</v>
      </c>
      <c r="L11" s="8">
        <f t="shared" si="6"/>
        <v>0</v>
      </c>
      <c r="M11" s="8">
        <f t="shared" si="7"/>
        <v>0</v>
      </c>
      <c r="N11" s="8">
        <f t="shared" si="8"/>
        <v>0</v>
      </c>
      <c r="O11" s="3" t="str">
        <f t="shared" si="9"/>
        <v>No prior-year base for a y/y comparison</v>
      </c>
    </row>
    <row r="12" spans="1:15" x14ac:dyDescent="0.25">
      <c r="A12" s="6" t="s">
        <v>53</v>
      </c>
      <c r="B12" s="7">
        <v>3936959</v>
      </c>
      <c r="C12" s="7">
        <v>38456363</v>
      </c>
      <c r="D12" s="8"/>
      <c r="E12" s="8"/>
      <c r="F12" s="3">
        <f t="shared" si="0"/>
        <v>11</v>
      </c>
      <c r="G12" s="3">
        <f t="shared" si="1"/>
        <v>0</v>
      </c>
      <c r="H12" s="3">
        <f t="shared" si="2"/>
        <v>0</v>
      </c>
      <c r="I12" s="3">
        <f t="shared" si="3"/>
        <v>0</v>
      </c>
      <c r="J12" s="3">
        <f t="shared" si="4"/>
        <v>0</v>
      </c>
      <c r="K12" s="8">
        <f t="shared" si="5"/>
        <v>0</v>
      </c>
      <c r="L12" s="8">
        <f t="shared" si="6"/>
        <v>0</v>
      </c>
      <c r="M12" s="8">
        <f t="shared" si="7"/>
        <v>0</v>
      </c>
      <c r="N12" s="8">
        <f t="shared" si="8"/>
        <v>0</v>
      </c>
      <c r="O12" s="3" t="str">
        <f t="shared" si="9"/>
        <v>No prior-year base for a y/y comparison</v>
      </c>
    </row>
    <row r="13" spans="1:15" x14ac:dyDescent="0.25">
      <c r="A13" s="6" t="s">
        <v>54</v>
      </c>
      <c r="B13" s="7">
        <v>4068297</v>
      </c>
      <c r="C13" s="7">
        <v>38781574</v>
      </c>
      <c r="D13" s="8"/>
      <c r="E13" s="8"/>
      <c r="F13" s="3">
        <f t="shared" si="0"/>
        <v>12</v>
      </c>
      <c r="G13" s="3">
        <f t="shared" si="1"/>
        <v>0</v>
      </c>
      <c r="H13" s="3">
        <f t="shared" si="2"/>
        <v>0</v>
      </c>
      <c r="I13" s="3">
        <f t="shared" si="3"/>
        <v>0</v>
      </c>
      <c r="J13" s="3">
        <f t="shared" si="4"/>
        <v>0</v>
      </c>
      <c r="K13" s="8">
        <f t="shared" si="5"/>
        <v>0</v>
      </c>
      <c r="L13" s="8">
        <f t="shared" si="6"/>
        <v>0</v>
      </c>
      <c r="M13" s="8">
        <f t="shared" si="7"/>
        <v>0</v>
      </c>
      <c r="N13" s="8">
        <f t="shared" si="8"/>
        <v>0</v>
      </c>
      <c r="O13" s="3" t="str">
        <f t="shared" si="9"/>
        <v>No prior-year base for a y/y comparison</v>
      </c>
    </row>
    <row r="14" spans="1:15" x14ac:dyDescent="0.25">
      <c r="A14" s="6" t="s">
        <v>55</v>
      </c>
      <c r="B14" s="7">
        <v>3794224</v>
      </c>
      <c r="C14" s="7">
        <v>31337455</v>
      </c>
      <c r="D14" s="8">
        <f t="shared" ref="D14:D45" si="10">(B14/B2-1)*100</f>
        <v>24.926831243824399</v>
      </c>
      <c r="E14" s="8">
        <f t="shared" ref="E14:E45" si="11">(C14/C2-1)*100</f>
        <v>-5.1982387463757052</v>
      </c>
      <c r="F14" s="3">
        <f t="shared" si="0"/>
        <v>1</v>
      </c>
      <c r="G14" s="3">
        <f t="shared" si="1"/>
        <v>1</v>
      </c>
      <c r="H14" s="3">
        <f t="shared" si="2"/>
        <v>0</v>
      </c>
      <c r="I14" s="3">
        <f t="shared" si="3"/>
        <v>1</v>
      </c>
      <c r="J14" s="3">
        <f t="shared" si="4"/>
        <v>0</v>
      </c>
      <c r="K14" s="8">
        <f t="shared" si="5"/>
        <v>-5.1982387463757052</v>
      </c>
      <c r="L14" s="8">
        <f t="shared" si="6"/>
        <v>24.926831243824399</v>
      </c>
      <c r="M14" s="8">
        <f t="shared" si="7"/>
        <v>0</v>
      </c>
      <c r="N14" s="8">
        <f t="shared" si="8"/>
        <v>0</v>
      </c>
      <c r="O14" s="3" t="str">
        <f t="shared" si="9"/>
        <v/>
      </c>
    </row>
    <row r="15" spans="1:15" x14ac:dyDescent="0.25">
      <c r="A15" s="6" t="s">
        <v>56</v>
      </c>
      <c r="B15" s="7">
        <v>3770183</v>
      </c>
      <c r="C15" s="7">
        <v>28135554</v>
      </c>
      <c r="D15" s="8">
        <f t="shared" si="10"/>
        <v>39.100150567681858</v>
      </c>
      <c r="E15" s="8">
        <f t="shared" si="11"/>
        <v>7.2253647953455458</v>
      </c>
      <c r="F15" s="3">
        <f t="shared" si="0"/>
        <v>2</v>
      </c>
      <c r="G15" s="3">
        <f t="shared" si="1"/>
        <v>0</v>
      </c>
      <c r="H15" s="3">
        <f t="shared" si="2"/>
        <v>0</v>
      </c>
      <c r="I15" s="3">
        <f t="shared" si="3"/>
        <v>0</v>
      </c>
      <c r="J15" s="3">
        <f t="shared" si="4"/>
        <v>0</v>
      </c>
      <c r="K15" s="8">
        <f t="shared" si="5"/>
        <v>0</v>
      </c>
      <c r="L15" s="8">
        <f t="shared" si="6"/>
        <v>0</v>
      </c>
      <c r="M15" s="8">
        <f t="shared" si="7"/>
        <v>0</v>
      </c>
      <c r="N15" s="8">
        <f t="shared" si="8"/>
        <v>0</v>
      </c>
      <c r="O15" s="3" t="str">
        <f t="shared" si="9"/>
        <v>Lunar New Year moves between Feb and Mar, so the y/y comparison is unreliable</v>
      </c>
    </row>
    <row r="16" spans="1:15" x14ac:dyDescent="0.25">
      <c r="A16" s="6" t="s">
        <v>57</v>
      </c>
      <c r="B16" s="7">
        <v>4232583</v>
      </c>
      <c r="C16" s="7">
        <v>37884146</v>
      </c>
      <c r="D16" s="8">
        <f t="shared" si="10"/>
        <v>28.016471684188883</v>
      </c>
      <c r="E16" s="8">
        <f t="shared" si="11"/>
        <v>28.134035179360751</v>
      </c>
      <c r="F16" s="3">
        <f t="shared" si="0"/>
        <v>3</v>
      </c>
      <c r="G16" s="3">
        <f t="shared" si="1"/>
        <v>0</v>
      </c>
      <c r="H16" s="3">
        <f t="shared" si="2"/>
        <v>0</v>
      </c>
      <c r="I16" s="3">
        <f t="shared" si="3"/>
        <v>0</v>
      </c>
      <c r="J16" s="3">
        <f t="shared" si="4"/>
        <v>0</v>
      </c>
      <c r="K16" s="8">
        <f t="shared" si="5"/>
        <v>0</v>
      </c>
      <c r="L16" s="8">
        <f t="shared" si="6"/>
        <v>0</v>
      </c>
      <c r="M16" s="8">
        <f t="shared" si="7"/>
        <v>0</v>
      </c>
      <c r="N16" s="8">
        <f t="shared" si="8"/>
        <v>0</v>
      </c>
      <c r="O16" s="3" t="str">
        <f t="shared" si="9"/>
        <v>Lunar New Year moves between Feb and Mar, so the y/y comparison is unreliable</v>
      </c>
    </row>
    <row r="17" spans="1:15" x14ac:dyDescent="0.25">
      <c r="A17" s="6" t="s">
        <v>58</v>
      </c>
      <c r="B17" s="7">
        <v>4282426</v>
      </c>
      <c r="C17" s="7">
        <v>35303249</v>
      </c>
      <c r="D17" s="8">
        <f t="shared" si="10"/>
        <v>32.941213357493403</v>
      </c>
      <c r="E17" s="8">
        <f t="shared" si="11"/>
        <v>21.519690023194691</v>
      </c>
      <c r="F17" s="3">
        <f t="shared" si="0"/>
        <v>4</v>
      </c>
      <c r="G17" s="3">
        <f t="shared" si="1"/>
        <v>1</v>
      </c>
      <c r="H17" s="3">
        <f t="shared" si="2"/>
        <v>0</v>
      </c>
      <c r="I17" s="3">
        <f t="shared" si="3"/>
        <v>1</v>
      </c>
      <c r="J17" s="3">
        <f t="shared" si="4"/>
        <v>0</v>
      </c>
      <c r="K17" s="8">
        <f t="shared" si="5"/>
        <v>21.519690023194691</v>
      </c>
      <c r="L17" s="8">
        <f t="shared" si="6"/>
        <v>32.941213357493403</v>
      </c>
      <c r="M17" s="8">
        <f t="shared" si="7"/>
        <v>0</v>
      </c>
      <c r="N17" s="8">
        <f t="shared" si="8"/>
        <v>0</v>
      </c>
      <c r="O17" s="3" t="str">
        <f t="shared" si="9"/>
        <v/>
      </c>
    </row>
    <row r="18" spans="1:15" x14ac:dyDescent="0.25">
      <c r="A18" s="6" t="s">
        <v>59</v>
      </c>
      <c r="B18" s="7">
        <v>4296079</v>
      </c>
      <c r="C18" s="7">
        <v>35788001</v>
      </c>
      <c r="D18" s="8">
        <f t="shared" si="10"/>
        <v>23.533824814084436</v>
      </c>
      <c r="E18" s="8">
        <f t="shared" si="11"/>
        <v>18.825445631101445</v>
      </c>
      <c r="F18" s="3">
        <f t="shared" si="0"/>
        <v>5</v>
      </c>
      <c r="G18" s="3">
        <f t="shared" si="1"/>
        <v>1</v>
      </c>
      <c r="H18" s="3">
        <f t="shared" si="2"/>
        <v>0</v>
      </c>
      <c r="I18" s="3">
        <f t="shared" si="3"/>
        <v>1</v>
      </c>
      <c r="J18" s="3">
        <f t="shared" si="4"/>
        <v>0</v>
      </c>
      <c r="K18" s="8">
        <f t="shared" si="5"/>
        <v>18.825445631101445</v>
      </c>
      <c r="L18" s="8">
        <f t="shared" si="6"/>
        <v>23.533824814084436</v>
      </c>
      <c r="M18" s="8">
        <f t="shared" si="7"/>
        <v>0</v>
      </c>
      <c r="N18" s="8">
        <f t="shared" si="8"/>
        <v>0</v>
      </c>
      <c r="O18" s="3" t="str">
        <f t="shared" si="9"/>
        <v/>
      </c>
    </row>
    <row r="19" spans="1:15" x14ac:dyDescent="0.25">
      <c r="A19" s="6" t="s">
        <v>60</v>
      </c>
      <c r="B19" s="7">
        <v>4254122</v>
      </c>
      <c r="C19" s="7">
        <v>36457523</v>
      </c>
      <c r="D19" s="8">
        <f t="shared" si="10"/>
        <v>18.60632916968472</v>
      </c>
      <c r="E19" s="8">
        <f t="shared" si="11"/>
        <v>15.476728939648886</v>
      </c>
      <c r="F19" s="3">
        <f t="shared" si="0"/>
        <v>6</v>
      </c>
      <c r="G19" s="3">
        <f t="shared" si="1"/>
        <v>1</v>
      </c>
      <c r="H19" s="3">
        <f t="shared" si="2"/>
        <v>0</v>
      </c>
      <c r="I19" s="3">
        <f t="shared" si="3"/>
        <v>1</v>
      </c>
      <c r="J19" s="3">
        <f t="shared" si="4"/>
        <v>0</v>
      </c>
      <c r="K19" s="8">
        <f t="shared" si="5"/>
        <v>15.476728939648886</v>
      </c>
      <c r="L19" s="8">
        <f t="shared" si="6"/>
        <v>18.60632916968472</v>
      </c>
      <c r="M19" s="8">
        <f t="shared" si="7"/>
        <v>0</v>
      </c>
      <c r="N19" s="8">
        <f t="shared" si="8"/>
        <v>0</v>
      </c>
      <c r="O19" s="3" t="str">
        <f t="shared" si="9"/>
        <v/>
      </c>
    </row>
    <row r="20" spans="1:15" x14ac:dyDescent="0.25">
      <c r="A20" s="6" t="s">
        <v>61</v>
      </c>
      <c r="B20" s="7">
        <v>4313667</v>
      </c>
      <c r="C20" s="7">
        <v>37325504</v>
      </c>
      <c r="D20" s="8">
        <f t="shared" si="10"/>
        <v>10.703555644636232</v>
      </c>
      <c r="E20" s="8">
        <f t="shared" si="11"/>
        <v>2.6092443124319464</v>
      </c>
      <c r="F20" s="3">
        <f t="shared" si="0"/>
        <v>7</v>
      </c>
      <c r="G20" s="3">
        <f t="shared" si="1"/>
        <v>1</v>
      </c>
      <c r="H20" s="3">
        <f t="shared" si="2"/>
        <v>0</v>
      </c>
      <c r="I20" s="3">
        <f t="shared" si="3"/>
        <v>1</v>
      </c>
      <c r="J20" s="3">
        <f t="shared" si="4"/>
        <v>0</v>
      </c>
      <c r="K20" s="8">
        <f t="shared" si="5"/>
        <v>2.6092443124319464</v>
      </c>
      <c r="L20" s="8">
        <f t="shared" si="6"/>
        <v>10.703555644636232</v>
      </c>
      <c r="M20" s="8">
        <f t="shared" si="7"/>
        <v>0</v>
      </c>
      <c r="N20" s="8">
        <f t="shared" si="8"/>
        <v>0</v>
      </c>
      <c r="O20" s="3" t="str">
        <f t="shared" si="9"/>
        <v/>
      </c>
    </row>
    <row r="21" spans="1:15" x14ac:dyDescent="0.25">
      <c r="A21" s="6" t="s">
        <v>62</v>
      </c>
      <c r="B21" s="7">
        <v>4468622</v>
      </c>
      <c r="C21" s="7">
        <v>41944147</v>
      </c>
      <c r="D21" s="8">
        <f t="shared" si="10"/>
        <v>11.946074954850783</v>
      </c>
      <c r="E21" s="8">
        <f t="shared" si="11"/>
        <v>4.7581549681975366</v>
      </c>
      <c r="F21" s="3">
        <f t="shared" si="0"/>
        <v>8</v>
      </c>
      <c r="G21" s="3">
        <f t="shared" si="1"/>
        <v>1</v>
      </c>
      <c r="H21" s="3">
        <f t="shared" si="2"/>
        <v>0</v>
      </c>
      <c r="I21" s="3">
        <f t="shared" si="3"/>
        <v>1</v>
      </c>
      <c r="J21" s="3">
        <f t="shared" si="4"/>
        <v>0</v>
      </c>
      <c r="K21" s="8">
        <f t="shared" si="5"/>
        <v>4.7581549681975366</v>
      </c>
      <c r="L21" s="8">
        <f t="shared" si="6"/>
        <v>11.946074954850783</v>
      </c>
      <c r="M21" s="8">
        <f t="shared" si="7"/>
        <v>0</v>
      </c>
      <c r="N21" s="8">
        <f t="shared" si="8"/>
        <v>0</v>
      </c>
      <c r="O21" s="3" t="str">
        <f t="shared" si="9"/>
        <v/>
      </c>
    </row>
    <row r="22" spans="1:15" x14ac:dyDescent="0.25">
      <c r="A22" s="6" t="s">
        <v>63</v>
      </c>
      <c r="B22" s="7">
        <v>4401098</v>
      </c>
      <c r="C22" s="7">
        <v>43925748</v>
      </c>
      <c r="D22" s="8">
        <f t="shared" si="10"/>
        <v>14.648560881302441</v>
      </c>
      <c r="E22" s="8">
        <f t="shared" si="11"/>
        <v>6.766392354426598</v>
      </c>
      <c r="F22" s="3">
        <f t="shared" si="0"/>
        <v>9</v>
      </c>
      <c r="G22" s="3">
        <f t="shared" si="1"/>
        <v>1</v>
      </c>
      <c r="H22" s="3">
        <f t="shared" si="2"/>
        <v>0</v>
      </c>
      <c r="I22" s="3">
        <f t="shared" si="3"/>
        <v>1</v>
      </c>
      <c r="J22" s="3">
        <f t="shared" si="4"/>
        <v>0</v>
      </c>
      <c r="K22" s="8">
        <f t="shared" si="5"/>
        <v>6.766392354426598</v>
      </c>
      <c r="L22" s="8">
        <f t="shared" si="6"/>
        <v>14.648560881302441</v>
      </c>
      <c r="M22" s="8">
        <f t="shared" si="7"/>
        <v>0</v>
      </c>
      <c r="N22" s="8">
        <f t="shared" si="8"/>
        <v>0</v>
      </c>
      <c r="O22" s="3" t="str">
        <f t="shared" si="9"/>
        <v/>
      </c>
    </row>
    <row r="23" spans="1:15" x14ac:dyDescent="0.25">
      <c r="A23" s="6" t="s">
        <v>64</v>
      </c>
      <c r="B23" s="7">
        <v>4291619</v>
      </c>
      <c r="C23" s="7">
        <v>47914576</v>
      </c>
      <c r="D23" s="8">
        <f t="shared" si="10"/>
        <v>-5.9733682948316495</v>
      </c>
      <c r="E23" s="8">
        <f t="shared" si="11"/>
        <v>23.540260222979327</v>
      </c>
      <c r="F23" s="3">
        <f t="shared" si="0"/>
        <v>10</v>
      </c>
      <c r="G23" s="3">
        <f t="shared" si="1"/>
        <v>1</v>
      </c>
      <c r="H23" s="3">
        <f t="shared" si="2"/>
        <v>0</v>
      </c>
      <c r="I23" s="3">
        <f t="shared" si="3"/>
        <v>1</v>
      </c>
      <c r="J23" s="3">
        <f t="shared" si="4"/>
        <v>0</v>
      </c>
      <c r="K23" s="8">
        <f t="shared" si="5"/>
        <v>23.540260222979327</v>
      </c>
      <c r="L23" s="8">
        <f t="shared" si="6"/>
        <v>-5.9733682948316495</v>
      </c>
      <c r="M23" s="8">
        <f t="shared" si="7"/>
        <v>0</v>
      </c>
      <c r="N23" s="8">
        <f t="shared" si="8"/>
        <v>0</v>
      </c>
      <c r="O23" s="3" t="str">
        <f t="shared" si="9"/>
        <v/>
      </c>
    </row>
    <row r="24" spans="1:15" x14ac:dyDescent="0.25">
      <c r="A24" s="6" t="s">
        <v>65</v>
      </c>
      <c r="B24" s="7">
        <v>4415297</v>
      </c>
      <c r="C24" s="7">
        <v>50664618</v>
      </c>
      <c r="D24" s="8">
        <f t="shared" si="10"/>
        <v>12.149936029305874</v>
      </c>
      <c r="E24" s="8">
        <f t="shared" si="11"/>
        <v>31.745734769562063</v>
      </c>
      <c r="F24" s="3">
        <f t="shared" si="0"/>
        <v>11</v>
      </c>
      <c r="G24" s="3">
        <f t="shared" si="1"/>
        <v>1</v>
      </c>
      <c r="H24" s="3">
        <f t="shared" si="2"/>
        <v>0</v>
      </c>
      <c r="I24" s="3">
        <f t="shared" si="3"/>
        <v>1</v>
      </c>
      <c r="J24" s="3">
        <f t="shared" si="4"/>
        <v>0</v>
      </c>
      <c r="K24" s="8">
        <f t="shared" si="5"/>
        <v>31.745734769562063</v>
      </c>
      <c r="L24" s="8">
        <f t="shared" si="6"/>
        <v>12.149936029305874</v>
      </c>
      <c r="M24" s="8">
        <f t="shared" si="7"/>
        <v>0</v>
      </c>
      <c r="N24" s="8">
        <f t="shared" si="8"/>
        <v>0</v>
      </c>
      <c r="O24" s="3" t="str">
        <f t="shared" si="9"/>
        <v/>
      </c>
    </row>
    <row r="25" spans="1:15" x14ac:dyDescent="0.25">
      <c r="A25" s="6" t="s">
        <v>66</v>
      </c>
      <c r="B25" s="7">
        <v>4542882</v>
      </c>
      <c r="C25" s="7">
        <v>50298189</v>
      </c>
      <c r="D25" s="8">
        <f t="shared" si="10"/>
        <v>11.665446254292643</v>
      </c>
      <c r="E25" s="8">
        <f t="shared" si="11"/>
        <v>29.696100008730951</v>
      </c>
      <c r="F25" s="3">
        <f t="shared" si="0"/>
        <v>12</v>
      </c>
      <c r="G25" s="3">
        <f t="shared" si="1"/>
        <v>1</v>
      </c>
      <c r="H25" s="3">
        <f t="shared" si="2"/>
        <v>0</v>
      </c>
      <c r="I25" s="3">
        <f t="shared" si="3"/>
        <v>1</v>
      </c>
      <c r="J25" s="3">
        <f t="shared" si="4"/>
        <v>0</v>
      </c>
      <c r="K25" s="8">
        <f t="shared" si="5"/>
        <v>29.696100008730951</v>
      </c>
      <c r="L25" s="8">
        <f t="shared" si="6"/>
        <v>11.665446254292643</v>
      </c>
      <c r="M25" s="8">
        <f t="shared" si="7"/>
        <v>0</v>
      </c>
      <c r="N25" s="8">
        <f t="shared" si="8"/>
        <v>0</v>
      </c>
      <c r="O25" s="3" t="str">
        <f t="shared" si="9"/>
        <v/>
      </c>
    </row>
    <row r="26" spans="1:15" x14ac:dyDescent="0.25">
      <c r="A26" s="6" t="s">
        <v>67</v>
      </c>
      <c r="B26" s="7">
        <v>4676864</v>
      </c>
      <c r="C26" s="7">
        <v>40847914</v>
      </c>
      <c r="D26" s="8">
        <f t="shared" si="10"/>
        <v>23.262727767258863</v>
      </c>
      <c r="E26" s="8">
        <f t="shared" si="11"/>
        <v>30.348536599414345</v>
      </c>
      <c r="F26" s="3">
        <f t="shared" si="0"/>
        <v>1</v>
      </c>
      <c r="G26" s="3">
        <f t="shared" si="1"/>
        <v>1</v>
      </c>
      <c r="H26" s="3">
        <f t="shared" si="2"/>
        <v>0</v>
      </c>
      <c r="I26" s="3">
        <f t="shared" si="3"/>
        <v>1</v>
      </c>
      <c r="J26" s="3">
        <f t="shared" si="4"/>
        <v>0</v>
      </c>
      <c r="K26" s="8">
        <f t="shared" si="5"/>
        <v>30.348536599414345</v>
      </c>
      <c r="L26" s="8">
        <f t="shared" si="6"/>
        <v>23.262727767258863</v>
      </c>
      <c r="M26" s="8">
        <f t="shared" si="7"/>
        <v>0</v>
      </c>
      <c r="N26" s="8">
        <f t="shared" si="8"/>
        <v>0</v>
      </c>
      <c r="O26" s="3" t="str">
        <f t="shared" si="9"/>
        <v/>
      </c>
    </row>
    <row r="27" spans="1:15" x14ac:dyDescent="0.25">
      <c r="A27" s="6" t="s">
        <v>68</v>
      </c>
      <c r="B27" s="7">
        <v>4341162</v>
      </c>
      <c r="C27" s="7">
        <v>36620343</v>
      </c>
      <c r="D27" s="8">
        <f t="shared" si="10"/>
        <v>15.144596429404089</v>
      </c>
      <c r="E27" s="8">
        <f t="shared" si="11"/>
        <v>30.156822218606383</v>
      </c>
      <c r="F27" s="3">
        <f t="shared" si="0"/>
        <v>2</v>
      </c>
      <c r="G27" s="3">
        <f t="shared" si="1"/>
        <v>0</v>
      </c>
      <c r="H27" s="3">
        <f t="shared" si="2"/>
        <v>0</v>
      </c>
      <c r="I27" s="3">
        <f t="shared" si="3"/>
        <v>0</v>
      </c>
      <c r="J27" s="3">
        <f t="shared" si="4"/>
        <v>0</v>
      </c>
      <c r="K27" s="8">
        <f t="shared" si="5"/>
        <v>0</v>
      </c>
      <c r="L27" s="8">
        <f t="shared" si="6"/>
        <v>0</v>
      </c>
      <c r="M27" s="8">
        <f t="shared" si="7"/>
        <v>0</v>
      </c>
      <c r="N27" s="8">
        <f t="shared" si="8"/>
        <v>0</v>
      </c>
      <c r="O27" s="3" t="str">
        <f t="shared" si="9"/>
        <v>Lunar New Year moves between Feb and Mar, so the y/y comparison is unreliable</v>
      </c>
    </row>
    <row r="28" spans="1:15" x14ac:dyDescent="0.25">
      <c r="A28" s="6" t="s">
        <v>69</v>
      </c>
      <c r="B28" s="7">
        <v>4740177</v>
      </c>
      <c r="C28" s="7">
        <v>42001527</v>
      </c>
      <c r="D28" s="8">
        <f t="shared" si="10"/>
        <v>11.992535054835308</v>
      </c>
      <c r="E28" s="8">
        <f t="shared" si="11"/>
        <v>10.86834846428899</v>
      </c>
      <c r="F28" s="3">
        <f t="shared" si="0"/>
        <v>3</v>
      </c>
      <c r="G28" s="3">
        <f t="shared" si="1"/>
        <v>0</v>
      </c>
      <c r="H28" s="3">
        <f t="shared" si="2"/>
        <v>0</v>
      </c>
      <c r="I28" s="3">
        <f t="shared" si="3"/>
        <v>0</v>
      </c>
      <c r="J28" s="3">
        <f t="shared" si="4"/>
        <v>0</v>
      </c>
      <c r="K28" s="8">
        <f t="shared" si="5"/>
        <v>0</v>
      </c>
      <c r="L28" s="8">
        <f t="shared" si="6"/>
        <v>0</v>
      </c>
      <c r="M28" s="8">
        <f t="shared" si="7"/>
        <v>0</v>
      </c>
      <c r="N28" s="8">
        <f t="shared" si="8"/>
        <v>0</v>
      </c>
      <c r="O28" s="3" t="str">
        <f t="shared" si="9"/>
        <v>Lunar New Year moves between Feb and Mar, so the y/y comparison is unreliable</v>
      </c>
    </row>
    <row r="29" spans="1:15" x14ac:dyDescent="0.25">
      <c r="A29" s="6" t="s">
        <v>70</v>
      </c>
      <c r="B29" s="7">
        <v>5049257</v>
      </c>
      <c r="C29" s="7">
        <v>41333449</v>
      </c>
      <c r="D29" s="8">
        <f t="shared" si="10"/>
        <v>17.906462365023934</v>
      </c>
      <c r="E29" s="8">
        <f t="shared" si="11"/>
        <v>17.081147403741781</v>
      </c>
      <c r="F29" s="3">
        <f t="shared" si="0"/>
        <v>4</v>
      </c>
      <c r="G29" s="3">
        <f t="shared" si="1"/>
        <v>1</v>
      </c>
      <c r="H29" s="3">
        <f t="shared" si="2"/>
        <v>0</v>
      </c>
      <c r="I29" s="3">
        <f t="shared" si="3"/>
        <v>1</v>
      </c>
      <c r="J29" s="3">
        <f t="shared" si="4"/>
        <v>0</v>
      </c>
      <c r="K29" s="8">
        <f t="shared" si="5"/>
        <v>17.081147403741781</v>
      </c>
      <c r="L29" s="8">
        <f t="shared" si="6"/>
        <v>17.906462365023934</v>
      </c>
      <c r="M29" s="8">
        <f t="shared" si="7"/>
        <v>0</v>
      </c>
      <c r="N29" s="8">
        <f t="shared" si="8"/>
        <v>0</v>
      </c>
      <c r="O29" s="3" t="str">
        <f t="shared" si="9"/>
        <v/>
      </c>
    </row>
    <row r="30" spans="1:15" x14ac:dyDescent="0.25">
      <c r="A30" s="6" t="s">
        <v>71</v>
      </c>
      <c r="B30" s="7">
        <v>5215060</v>
      </c>
      <c r="C30" s="7">
        <v>42267016</v>
      </c>
      <c r="D30" s="8">
        <f t="shared" si="10"/>
        <v>21.391156913082842</v>
      </c>
      <c r="E30" s="8">
        <f t="shared" si="11"/>
        <v>18.103875094895638</v>
      </c>
      <c r="F30" s="3">
        <f t="shared" si="0"/>
        <v>5</v>
      </c>
      <c r="G30" s="3">
        <f t="shared" si="1"/>
        <v>1</v>
      </c>
      <c r="H30" s="3">
        <f t="shared" si="2"/>
        <v>0</v>
      </c>
      <c r="I30" s="3">
        <f t="shared" si="3"/>
        <v>1</v>
      </c>
      <c r="J30" s="3">
        <f t="shared" si="4"/>
        <v>0</v>
      </c>
      <c r="K30" s="8">
        <f t="shared" si="5"/>
        <v>18.103875094895638</v>
      </c>
      <c r="L30" s="8">
        <f t="shared" si="6"/>
        <v>21.391156913082842</v>
      </c>
      <c r="M30" s="8">
        <f t="shared" si="7"/>
        <v>0</v>
      </c>
      <c r="N30" s="8">
        <f t="shared" si="8"/>
        <v>0</v>
      </c>
      <c r="O30" s="3" t="str">
        <f t="shared" si="9"/>
        <v/>
      </c>
    </row>
    <row r="31" spans="1:15" x14ac:dyDescent="0.25">
      <c r="A31" s="6" t="s">
        <v>72</v>
      </c>
      <c r="B31" s="7">
        <v>4411580</v>
      </c>
      <c r="C31" s="7">
        <v>43325882</v>
      </c>
      <c r="D31" s="8">
        <f t="shared" si="10"/>
        <v>3.7013042879353142</v>
      </c>
      <c r="E31" s="8">
        <f t="shared" si="11"/>
        <v>18.839346271550038</v>
      </c>
      <c r="F31" s="3">
        <f t="shared" si="0"/>
        <v>6</v>
      </c>
      <c r="G31" s="3">
        <f t="shared" si="1"/>
        <v>1</v>
      </c>
      <c r="H31" s="3">
        <f t="shared" si="2"/>
        <v>0</v>
      </c>
      <c r="I31" s="3">
        <f t="shared" si="3"/>
        <v>1</v>
      </c>
      <c r="J31" s="3">
        <f t="shared" si="4"/>
        <v>0</v>
      </c>
      <c r="K31" s="8">
        <f t="shared" si="5"/>
        <v>18.839346271550038</v>
      </c>
      <c r="L31" s="8">
        <f t="shared" si="6"/>
        <v>3.7013042879353142</v>
      </c>
      <c r="M31" s="8">
        <f t="shared" si="7"/>
        <v>0</v>
      </c>
      <c r="N31" s="8">
        <f t="shared" si="8"/>
        <v>0</v>
      </c>
      <c r="O31" s="3" t="str">
        <f t="shared" si="9"/>
        <v/>
      </c>
    </row>
    <row r="32" spans="1:15" x14ac:dyDescent="0.25">
      <c r="A32" s="6" t="s">
        <v>73</v>
      </c>
      <c r="B32" s="7">
        <v>5590873</v>
      </c>
      <c r="C32" s="7">
        <v>46479676</v>
      </c>
      <c r="D32" s="8">
        <f t="shared" si="10"/>
        <v>29.608358735155036</v>
      </c>
      <c r="E32" s="8">
        <f t="shared" si="11"/>
        <v>24.52524686605706</v>
      </c>
      <c r="F32" s="3">
        <f t="shared" si="0"/>
        <v>7</v>
      </c>
      <c r="G32" s="3">
        <f t="shared" si="1"/>
        <v>1</v>
      </c>
      <c r="H32" s="3">
        <f t="shared" si="2"/>
        <v>0</v>
      </c>
      <c r="I32" s="3">
        <f t="shared" si="3"/>
        <v>1</v>
      </c>
      <c r="J32" s="3">
        <f t="shared" si="4"/>
        <v>0</v>
      </c>
      <c r="K32" s="8">
        <f t="shared" si="5"/>
        <v>24.52524686605706</v>
      </c>
      <c r="L32" s="8">
        <f t="shared" si="6"/>
        <v>29.608358735155036</v>
      </c>
      <c r="M32" s="8">
        <f t="shared" si="7"/>
        <v>0</v>
      </c>
      <c r="N32" s="8">
        <f t="shared" si="8"/>
        <v>0</v>
      </c>
      <c r="O32" s="3" t="str">
        <f t="shared" si="9"/>
        <v/>
      </c>
    </row>
    <row r="33" spans="1:15" x14ac:dyDescent="0.25">
      <c r="A33" s="6" t="s">
        <v>74</v>
      </c>
      <c r="B33" s="7">
        <v>5769180</v>
      </c>
      <c r="C33" s="7">
        <v>50449730</v>
      </c>
      <c r="D33" s="8">
        <f t="shared" si="10"/>
        <v>29.104229447019691</v>
      </c>
      <c r="E33" s="8">
        <f t="shared" si="11"/>
        <v>20.278354927565935</v>
      </c>
      <c r="F33" s="3">
        <f t="shared" si="0"/>
        <v>8</v>
      </c>
      <c r="G33" s="3">
        <f t="shared" si="1"/>
        <v>1</v>
      </c>
      <c r="H33" s="3">
        <f t="shared" si="2"/>
        <v>0</v>
      </c>
      <c r="I33" s="3">
        <f t="shared" si="3"/>
        <v>1</v>
      </c>
      <c r="J33" s="3">
        <f t="shared" si="4"/>
        <v>0</v>
      </c>
      <c r="K33" s="8">
        <f t="shared" si="5"/>
        <v>20.278354927565935</v>
      </c>
      <c r="L33" s="8">
        <f t="shared" si="6"/>
        <v>29.104229447019691</v>
      </c>
      <c r="M33" s="8">
        <f t="shared" si="7"/>
        <v>0</v>
      </c>
      <c r="N33" s="8">
        <f t="shared" si="8"/>
        <v>0</v>
      </c>
      <c r="O33" s="3" t="str">
        <f t="shared" si="9"/>
        <v/>
      </c>
    </row>
    <row r="34" spans="1:15" x14ac:dyDescent="0.25">
      <c r="A34" s="6" t="s">
        <v>75</v>
      </c>
      <c r="B34" s="7">
        <v>5597241</v>
      </c>
      <c r="C34" s="7">
        <v>53735410</v>
      </c>
      <c r="D34" s="8">
        <f t="shared" si="10"/>
        <v>27.178285964093508</v>
      </c>
      <c r="E34" s="8">
        <f t="shared" si="11"/>
        <v>22.332373258618166</v>
      </c>
      <c r="F34" s="3">
        <f t="shared" ref="F34:F65" si="12">VALUE(MID(A34,6,2))</f>
        <v>9</v>
      </c>
      <c r="G34" s="3">
        <f t="shared" ref="G34:G65" si="13">IF(AND(ROW()&gt;=14,F34&lt;&gt;2,F34&lt;&gt;3),1,0)</f>
        <v>1</v>
      </c>
      <c r="H34" s="3">
        <f t="shared" ref="H34:H65" si="14">IF(LEFT(A34,4)*1&gt;=2025,1,0)</f>
        <v>0</v>
      </c>
      <c r="I34" s="3">
        <f t="shared" ref="I34:I65" si="15">IF(AND(G34=1,H34=0),1,0)</f>
        <v>1</v>
      </c>
      <c r="J34" s="3">
        <f t="shared" ref="J34:J65" si="16">IF(AND(G34=1,H34=1),1,0)</f>
        <v>0</v>
      </c>
      <c r="K34" s="8">
        <f t="shared" ref="K34:K65" si="17">IF(I34=1,E34,0)</f>
        <v>22.332373258618166</v>
      </c>
      <c r="L34" s="8">
        <f t="shared" ref="L34:L65" si="18">IF(I34=1,D34,0)</f>
        <v>27.178285964093508</v>
      </c>
      <c r="M34" s="8">
        <f t="shared" ref="M34:M65" si="19">IF(J34=1,E34,0)</f>
        <v>0</v>
      </c>
      <c r="N34" s="8">
        <f t="shared" ref="N34:N65" si="20">IF(J34=1,D34,0)</f>
        <v>0</v>
      </c>
      <c r="O34" s="3" t="str">
        <f t="shared" ref="O34:O65" si="21">IF(G34=1,"",IF(ROW()&lt;14,"No prior-year base for a y/y comparison","Lunar New Year moves between Feb and Mar, so the y/y comparison is unreliable"))</f>
        <v/>
      </c>
    </row>
    <row r="35" spans="1:15" x14ac:dyDescent="0.25">
      <c r="A35" s="6" t="s">
        <v>76</v>
      </c>
      <c r="B35" s="7">
        <v>5574569</v>
      </c>
      <c r="C35" s="7">
        <v>52748353</v>
      </c>
      <c r="D35" s="8">
        <f t="shared" si="10"/>
        <v>29.894312612559503</v>
      </c>
      <c r="E35" s="8">
        <f t="shared" si="11"/>
        <v>10.088322601456401</v>
      </c>
      <c r="F35" s="3">
        <f t="shared" si="12"/>
        <v>10</v>
      </c>
      <c r="G35" s="3">
        <f t="shared" si="13"/>
        <v>1</v>
      </c>
      <c r="H35" s="3">
        <f t="shared" si="14"/>
        <v>0</v>
      </c>
      <c r="I35" s="3">
        <f t="shared" si="15"/>
        <v>1</v>
      </c>
      <c r="J35" s="3">
        <f t="shared" si="16"/>
        <v>0</v>
      </c>
      <c r="K35" s="8">
        <f t="shared" si="17"/>
        <v>10.088322601456401</v>
      </c>
      <c r="L35" s="8">
        <f t="shared" si="18"/>
        <v>29.894312612559503</v>
      </c>
      <c r="M35" s="8">
        <f t="shared" si="19"/>
        <v>0</v>
      </c>
      <c r="N35" s="8">
        <f t="shared" si="20"/>
        <v>0</v>
      </c>
      <c r="O35" s="3" t="str">
        <f t="shared" si="21"/>
        <v/>
      </c>
    </row>
    <row r="36" spans="1:15" x14ac:dyDescent="0.25">
      <c r="A36" s="6" t="s">
        <v>77</v>
      </c>
      <c r="B36" s="7">
        <v>5568936</v>
      </c>
      <c r="C36" s="7">
        <v>60522891</v>
      </c>
      <c r="D36" s="8">
        <f t="shared" si="10"/>
        <v>26.128231011413284</v>
      </c>
      <c r="E36" s="8">
        <f t="shared" si="11"/>
        <v>19.457904528165983</v>
      </c>
      <c r="F36" s="3">
        <f t="shared" si="12"/>
        <v>11</v>
      </c>
      <c r="G36" s="3">
        <f t="shared" si="13"/>
        <v>1</v>
      </c>
      <c r="H36" s="3">
        <f t="shared" si="14"/>
        <v>0</v>
      </c>
      <c r="I36" s="3">
        <f t="shared" si="15"/>
        <v>1</v>
      </c>
      <c r="J36" s="3">
        <f t="shared" si="16"/>
        <v>0</v>
      </c>
      <c r="K36" s="8">
        <f t="shared" si="17"/>
        <v>19.457904528165983</v>
      </c>
      <c r="L36" s="8">
        <f t="shared" si="18"/>
        <v>26.128231011413284</v>
      </c>
      <c r="M36" s="8">
        <f t="shared" si="19"/>
        <v>0</v>
      </c>
      <c r="N36" s="8">
        <f t="shared" si="20"/>
        <v>0</v>
      </c>
      <c r="O36" s="3" t="str">
        <f t="shared" si="21"/>
        <v/>
      </c>
    </row>
    <row r="37" spans="1:15" x14ac:dyDescent="0.25">
      <c r="A37" s="6" t="s">
        <v>78</v>
      </c>
      <c r="B37" s="7">
        <v>5831624</v>
      </c>
      <c r="C37" s="7">
        <v>59664942</v>
      </c>
      <c r="D37" s="8">
        <f t="shared" si="10"/>
        <v>28.368379367987107</v>
      </c>
      <c r="E37" s="8">
        <f t="shared" si="11"/>
        <v>18.622445830007916</v>
      </c>
      <c r="F37" s="3">
        <f t="shared" si="12"/>
        <v>12</v>
      </c>
      <c r="G37" s="3">
        <f t="shared" si="13"/>
        <v>1</v>
      </c>
      <c r="H37" s="3">
        <f t="shared" si="14"/>
        <v>0</v>
      </c>
      <c r="I37" s="3">
        <f t="shared" si="15"/>
        <v>1</v>
      </c>
      <c r="J37" s="3">
        <f t="shared" si="16"/>
        <v>0</v>
      </c>
      <c r="K37" s="8">
        <f t="shared" si="17"/>
        <v>18.622445830007916</v>
      </c>
      <c r="L37" s="8">
        <f t="shared" si="18"/>
        <v>28.368379367987107</v>
      </c>
      <c r="M37" s="8">
        <f t="shared" si="19"/>
        <v>0</v>
      </c>
      <c r="N37" s="8">
        <f t="shared" si="20"/>
        <v>0</v>
      </c>
      <c r="O37" s="3" t="str">
        <f t="shared" si="21"/>
        <v/>
      </c>
    </row>
    <row r="38" spans="1:15" x14ac:dyDescent="0.25">
      <c r="A38" s="6" t="s">
        <v>79</v>
      </c>
      <c r="B38" s="7">
        <v>5574812</v>
      </c>
      <c r="C38" s="7">
        <v>48573947</v>
      </c>
      <c r="D38" s="8">
        <f t="shared" si="10"/>
        <v>19.199788576276756</v>
      </c>
      <c r="E38" s="8">
        <f t="shared" si="11"/>
        <v>18.914143326878332</v>
      </c>
      <c r="F38" s="3">
        <f t="shared" si="12"/>
        <v>1</v>
      </c>
      <c r="G38" s="3">
        <f t="shared" si="13"/>
        <v>1</v>
      </c>
      <c r="H38" s="3">
        <f t="shared" si="14"/>
        <v>0</v>
      </c>
      <c r="I38" s="3">
        <f t="shared" si="15"/>
        <v>1</v>
      </c>
      <c r="J38" s="3">
        <f t="shared" si="16"/>
        <v>0</v>
      </c>
      <c r="K38" s="8">
        <f t="shared" si="17"/>
        <v>18.914143326878332</v>
      </c>
      <c r="L38" s="8">
        <f t="shared" si="18"/>
        <v>19.199788576276756</v>
      </c>
      <c r="M38" s="8">
        <f t="shared" si="19"/>
        <v>0</v>
      </c>
      <c r="N38" s="8">
        <f t="shared" si="20"/>
        <v>0</v>
      </c>
      <c r="O38" s="3" t="str">
        <f t="shared" si="21"/>
        <v/>
      </c>
    </row>
    <row r="39" spans="1:15" x14ac:dyDescent="0.25">
      <c r="A39" s="6" t="s">
        <v>80</v>
      </c>
      <c r="B39" s="7">
        <v>5006681</v>
      </c>
      <c r="C39" s="7">
        <v>43830549</v>
      </c>
      <c r="D39" s="8">
        <f t="shared" si="10"/>
        <v>15.330434570283247</v>
      </c>
      <c r="E39" s="8">
        <f t="shared" si="11"/>
        <v>19.689072819443542</v>
      </c>
      <c r="F39" s="3">
        <f t="shared" si="12"/>
        <v>2</v>
      </c>
      <c r="G39" s="3">
        <f t="shared" si="13"/>
        <v>0</v>
      </c>
      <c r="H39" s="3">
        <f t="shared" si="14"/>
        <v>0</v>
      </c>
      <c r="I39" s="3">
        <f t="shared" si="15"/>
        <v>0</v>
      </c>
      <c r="J39" s="3">
        <f t="shared" si="16"/>
        <v>0</v>
      </c>
      <c r="K39" s="8">
        <f t="shared" si="17"/>
        <v>0</v>
      </c>
      <c r="L39" s="8">
        <f t="shared" si="18"/>
        <v>0</v>
      </c>
      <c r="M39" s="8">
        <f t="shared" si="19"/>
        <v>0</v>
      </c>
      <c r="N39" s="8">
        <f t="shared" si="20"/>
        <v>0</v>
      </c>
      <c r="O39" s="3" t="str">
        <f t="shared" si="21"/>
        <v>Lunar New Year moves between Feb and Mar, so the y/y comparison is unreliable</v>
      </c>
    </row>
    <row r="40" spans="1:15" x14ac:dyDescent="0.25">
      <c r="A40" s="6" t="s">
        <v>81</v>
      </c>
      <c r="B40" s="7">
        <v>6127046</v>
      </c>
      <c r="C40" s="7">
        <v>51986331</v>
      </c>
      <c r="D40" s="8">
        <f t="shared" si="10"/>
        <v>29.257747126320389</v>
      </c>
      <c r="E40" s="8">
        <f t="shared" si="11"/>
        <v>23.77247855774387</v>
      </c>
      <c r="F40" s="3">
        <f t="shared" si="12"/>
        <v>3</v>
      </c>
      <c r="G40" s="3">
        <f t="shared" si="13"/>
        <v>0</v>
      </c>
      <c r="H40" s="3">
        <f t="shared" si="14"/>
        <v>0</v>
      </c>
      <c r="I40" s="3">
        <f t="shared" si="15"/>
        <v>0</v>
      </c>
      <c r="J40" s="3">
        <f t="shared" si="16"/>
        <v>0</v>
      </c>
      <c r="K40" s="8">
        <f t="shared" si="17"/>
        <v>0</v>
      </c>
      <c r="L40" s="8">
        <f t="shared" si="18"/>
        <v>0</v>
      </c>
      <c r="M40" s="8">
        <f t="shared" si="19"/>
        <v>0</v>
      </c>
      <c r="N40" s="8">
        <f t="shared" si="20"/>
        <v>0</v>
      </c>
      <c r="O40" s="3" t="str">
        <f t="shared" si="21"/>
        <v>Lunar New Year moves between Feb and Mar, so the y/y comparison is unreliable</v>
      </c>
    </row>
    <row r="41" spans="1:15" x14ac:dyDescent="0.25">
      <c r="A41" s="6" t="s">
        <v>82</v>
      </c>
      <c r="B41" s="7">
        <v>6148458</v>
      </c>
      <c r="C41" s="7">
        <v>48642595</v>
      </c>
      <c r="D41" s="8">
        <f t="shared" si="10"/>
        <v>21.769559362892398</v>
      </c>
      <c r="E41" s="8">
        <f t="shared" si="11"/>
        <v>17.683368257025922</v>
      </c>
      <c r="F41" s="3">
        <f t="shared" si="12"/>
        <v>4</v>
      </c>
      <c r="G41" s="3">
        <f t="shared" si="13"/>
        <v>1</v>
      </c>
      <c r="H41" s="3">
        <f t="shared" si="14"/>
        <v>0</v>
      </c>
      <c r="I41" s="3">
        <f t="shared" si="15"/>
        <v>1</v>
      </c>
      <c r="J41" s="3">
        <f t="shared" si="16"/>
        <v>0</v>
      </c>
      <c r="K41" s="8">
        <f t="shared" si="17"/>
        <v>17.683368257025922</v>
      </c>
      <c r="L41" s="8">
        <f t="shared" si="18"/>
        <v>21.769559362892398</v>
      </c>
      <c r="M41" s="8">
        <f t="shared" si="19"/>
        <v>0</v>
      </c>
      <c r="N41" s="8">
        <f t="shared" si="20"/>
        <v>0</v>
      </c>
      <c r="O41" s="3" t="str">
        <f t="shared" si="21"/>
        <v/>
      </c>
    </row>
    <row r="42" spans="1:15" x14ac:dyDescent="0.25">
      <c r="A42" s="6" t="s">
        <v>83</v>
      </c>
      <c r="B42" s="7">
        <v>6269278</v>
      </c>
      <c r="C42" s="7">
        <v>53798666</v>
      </c>
      <c r="D42" s="8">
        <f t="shared" si="10"/>
        <v>20.2148776811772</v>
      </c>
      <c r="E42" s="8">
        <f t="shared" si="11"/>
        <v>27.282858103822605</v>
      </c>
      <c r="F42" s="3">
        <f t="shared" si="12"/>
        <v>5</v>
      </c>
      <c r="G42" s="3">
        <f t="shared" si="13"/>
        <v>1</v>
      </c>
      <c r="H42" s="3">
        <f t="shared" si="14"/>
        <v>0</v>
      </c>
      <c r="I42" s="3">
        <f t="shared" si="15"/>
        <v>1</v>
      </c>
      <c r="J42" s="3">
        <f t="shared" si="16"/>
        <v>0</v>
      </c>
      <c r="K42" s="8">
        <f t="shared" si="17"/>
        <v>27.282858103822605</v>
      </c>
      <c r="L42" s="8">
        <f t="shared" si="18"/>
        <v>20.2148776811772</v>
      </c>
      <c r="M42" s="8">
        <f t="shared" si="19"/>
        <v>0</v>
      </c>
      <c r="N42" s="8">
        <f t="shared" si="20"/>
        <v>0</v>
      </c>
      <c r="O42" s="3" t="str">
        <f t="shared" si="21"/>
        <v/>
      </c>
    </row>
    <row r="43" spans="1:15" x14ac:dyDescent="0.25">
      <c r="A43" s="6" t="s">
        <v>84</v>
      </c>
      <c r="B43" s="7">
        <v>6253160</v>
      </c>
      <c r="C43" s="7">
        <v>57997759</v>
      </c>
      <c r="D43" s="8">
        <f t="shared" si="10"/>
        <v>41.744227691666012</v>
      </c>
      <c r="E43" s="8">
        <f t="shared" si="11"/>
        <v>33.864000737480659</v>
      </c>
      <c r="F43" s="3">
        <f t="shared" si="12"/>
        <v>6</v>
      </c>
      <c r="G43" s="3">
        <f t="shared" si="13"/>
        <v>1</v>
      </c>
      <c r="H43" s="3">
        <f t="shared" si="14"/>
        <v>0</v>
      </c>
      <c r="I43" s="3">
        <f t="shared" si="15"/>
        <v>1</v>
      </c>
      <c r="J43" s="3">
        <f t="shared" si="16"/>
        <v>0</v>
      </c>
      <c r="K43" s="8">
        <f t="shared" si="17"/>
        <v>33.864000737480659</v>
      </c>
      <c r="L43" s="8">
        <f t="shared" si="18"/>
        <v>41.744227691666012</v>
      </c>
      <c r="M43" s="8">
        <f t="shared" si="19"/>
        <v>0</v>
      </c>
      <c r="N43" s="8">
        <f t="shared" si="20"/>
        <v>0</v>
      </c>
      <c r="O43" s="3" t="str">
        <f t="shared" si="21"/>
        <v/>
      </c>
    </row>
    <row r="44" spans="1:15" x14ac:dyDescent="0.25">
      <c r="A44" s="6" t="s">
        <v>85</v>
      </c>
      <c r="B44" s="7">
        <v>6163801</v>
      </c>
      <c r="C44" s="7">
        <v>58167105</v>
      </c>
      <c r="D44" s="8">
        <f t="shared" si="10"/>
        <v>10.247558833835079</v>
      </c>
      <c r="E44" s="8">
        <f t="shared" si="11"/>
        <v>25.145246279255474</v>
      </c>
      <c r="F44" s="3">
        <f t="shared" si="12"/>
        <v>7</v>
      </c>
      <c r="G44" s="3">
        <f t="shared" si="13"/>
        <v>1</v>
      </c>
      <c r="H44" s="3">
        <f t="shared" si="14"/>
        <v>0</v>
      </c>
      <c r="I44" s="3">
        <f t="shared" si="15"/>
        <v>1</v>
      </c>
      <c r="J44" s="3">
        <f t="shared" si="16"/>
        <v>0</v>
      </c>
      <c r="K44" s="8">
        <f t="shared" si="17"/>
        <v>25.145246279255474</v>
      </c>
      <c r="L44" s="8">
        <f t="shared" si="18"/>
        <v>10.247558833835079</v>
      </c>
      <c r="M44" s="8">
        <f t="shared" si="19"/>
        <v>0</v>
      </c>
      <c r="N44" s="8">
        <f t="shared" si="20"/>
        <v>0</v>
      </c>
      <c r="O44" s="3" t="str">
        <f t="shared" si="21"/>
        <v/>
      </c>
    </row>
    <row r="45" spans="1:15" x14ac:dyDescent="0.25">
      <c r="A45" s="6" t="s">
        <v>86</v>
      </c>
      <c r="B45" s="7">
        <v>5785926</v>
      </c>
      <c r="C45" s="7">
        <v>63806883</v>
      </c>
      <c r="D45" s="8">
        <f t="shared" si="10"/>
        <v>0.29026655434567505</v>
      </c>
      <c r="E45" s="8">
        <f t="shared" si="11"/>
        <v>26.476163499784832</v>
      </c>
      <c r="F45" s="3">
        <f t="shared" si="12"/>
        <v>8</v>
      </c>
      <c r="G45" s="3">
        <f t="shared" si="13"/>
        <v>1</v>
      </c>
      <c r="H45" s="3">
        <f t="shared" si="14"/>
        <v>0</v>
      </c>
      <c r="I45" s="3">
        <f t="shared" si="15"/>
        <v>1</v>
      </c>
      <c r="J45" s="3">
        <f t="shared" si="16"/>
        <v>0</v>
      </c>
      <c r="K45" s="8">
        <f t="shared" si="17"/>
        <v>26.476163499784832</v>
      </c>
      <c r="L45" s="8">
        <f t="shared" si="18"/>
        <v>0.29026655434567505</v>
      </c>
      <c r="M45" s="8">
        <f t="shared" si="19"/>
        <v>0</v>
      </c>
      <c r="N45" s="8">
        <f t="shared" si="20"/>
        <v>0</v>
      </c>
      <c r="O45" s="3" t="str">
        <f t="shared" si="21"/>
        <v/>
      </c>
    </row>
    <row r="46" spans="1:15" x14ac:dyDescent="0.25">
      <c r="A46" s="6" t="s">
        <v>87</v>
      </c>
      <c r="B46" s="7">
        <v>5829764</v>
      </c>
      <c r="C46" s="7">
        <v>66651569</v>
      </c>
      <c r="D46" s="8">
        <f t="shared" ref="D46:D77" si="22">(B46/B34-1)*100</f>
        <v>4.1542431351446085</v>
      </c>
      <c r="E46" s="8">
        <f t="shared" ref="E46:E77" si="23">(C46/C34-1)*100</f>
        <v>24.036587791923438</v>
      </c>
      <c r="F46" s="3">
        <f t="shared" si="12"/>
        <v>9</v>
      </c>
      <c r="G46" s="3">
        <f t="shared" si="13"/>
        <v>1</v>
      </c>
      <c r="H46" s="3">
        <f t="shared" si="14"/>
        <v>0</v>
      </c>
      <c r="I46" s="3">
        <f t="shared" si="15"/>
        <v>1</v>
      </c>
      <c r="J46" s="3">
        <f t="shared" si="16"/>
        <v>0</v>
      </c>
      <c r="K46" s="8">
        <f t="shared" si="17"/>
        <v>24.036587791923438</v>
      </c>
      <c r="L46" s="8">
        <f t="shared" si="18"/>
        <v>4.1542431351446085</v>
      </c>
      <c r="M46" s="8">
        <f t="shared" si="19"/>
        <v>0</v>
      </c>
      <c r="N46" s="8">
        <f t="shared" si="20"/>
        <v>0</v>
      </c>
      <c r="O46" s="3" t="str">
        <f t="shared" si="21"/>
        <v/>
      </c>
    </row>
    <row r="47" spans="1:15" x14ac:dyDescent="0.25">
      <c r="A47" s="6" t="s">
        <v>88</v>
      </c>
      <c r="B47" s="7">
        <v>5768835</v>
      </c>
      <c r="C47" s="7">
        <v>64171459</v>
      </c>
      <c r="D47" s="8">
        <f t="shared" si="22"/>
        <v>3.484861340849843</v>
      </c>
      <c r="E47" s="8">
        <f t="shared" si="23"/>
        <v>21.655853406456128</v>
      </c>
      <c r="F47" s="3">
        <f t="shared" si="12"/>
        <v>10</v>
      </c>
      <c r="G47" s="3">
        <f t="shared" si="13"/>
        <v>1</v>
      </c>
      <c r="H47" s="3">
        <f t="shared" si="14"/>
        <v>0</v>
      </c>
      <c r="I47" s="3">
        <f t="shared" si="15"/>
        <v>1</v>
      </c>
      <c r="J47" s="3">
        <f t="shared" si="16"/>
        <v>0</v>
      </c>
      <c r="K47" s="8">
        <f t="shared" si="17"/>
        <v>21.655853406456128</v>
      </c>
      <c r="L47" s="8">
        <f t="shared" si="18"/>
        <v>3.484861340849843</v>
      </c>
      <c r="M47" s="8">
        <f t="shared" si="19"/>
        <v>0</v>
      </c>
      <c r="N47" s="8">
        <f t="shared" si="20"/>
        <v>0</v>
      </c>
      <c r="O47" s="3" t="str">
        <f t="shared" si="21"/>
        <v/>
      </c>
    </row>
    <row r="48" spans="1:15" x14ac:dyDescent="0.25">
      <c r="A48" s="6" t="s">
        <v>89</v>
      </c>
      <c r="B48" s="7">
        <v>5544086</v>
      </c>
      <c r="C48" s="7">
        <v>60106891</v>
      </c>
      <c r="D48" s="8">
        <f t="shared" si="22"/>
        <v>-0.44622527534883272</v>
      </c>
      <c r="E48" s="8">
        <f t="shared" si="23"/>
        <v>-0.68734324009737113</v>
      </c>
      <c r="F48" s="3">
        <f t="shared" si="12"/>
        <v>11</v>
      </c>
      <c r="G48" s="3">
        <f t="shared" si="13"/>
        <v>1</v>
      </c>
      <c r="H48" s="3">
        <f t="shared" si="14"/>
        <v>0</v>
      </c>
      <c r="I48" s="3">
        <f t="shared" si="15"/>
        <v>1</v>
      </c>
      <c r="J48" s="3">
        <f t="shared" si="16"/>
        <v>0</v>
      </c>
      <c r="K48" s="8">
        <f t="shared" si="17"/>
        <v>-0.68734324009737113</v>
      </c>
      <c r="L48" s="8">
        <f t="shared" si="18"/>
        <v>-0.44622527534883272</v>
      </c>
      <c r="M48" s="8">
        <f t="shared" si="19"/>
        <v>0</v>
      </c>
      <c r="N48" s="8">
        <f t="shared" si="20"/>
        <v>0</v>
      </c>
      <c r="O48" s="3" t="str">
        <f t="shared" si="21"/>
        <v/>
      </c>
    </row>
    <row r="49" spans="1:15" x14ac:dyDescent="0.25">
      <c r="A49" s="6" t="s">
        <v>90</v>
      </c>
      <c r="B49" s="7">
        <v>5503649</v>
      </c>
      <c r="C49" s="7">
        <v>53138889</v>
      </c>
      <c r="D49" s="8">
        <f t="shared" si="22"/>
        <v>-5.6240765865563365</v>
      </c>
      <c r="E49" s="8">
        <f t="shared" si="23"/>
        <v>-10.937835152844022</v>
      </c>
      <c r="F49" s="3">
        <f t="shared" si="12"/>
        <v>12</v>
      </c>
      <c r="G49" s="3">
        <f t="shared" si="13"/>
        <v>1</v>
      </c>
      <c r="H49" s="3">
        <f t="shared" si="14"/>
        <v>0</v>
      </c>
      <c r="I49" s="3">
        <f t="shared" si="15"/>
        <v>1</v>
      </c>
      <c r="J49" s="3">
        <f t="shared" si="16"/>
        <v>0</v>
      </c>
      <c r="K49" s="8">
        <f t="shared" si="17"/>
        <v>-10.937835152844022</v>
      </c>
      <c r="L49" s="8">
        <f t="shared" si="18"/>
        <v>-5.6240765865563365</v>
      </c>
      <c r="M49" s="8">
        <f t="shared" si="19"/>
        <v>0</v>
      </c>
      <c r="N49" s="8">
        <f t="shared" si="20"/>
        <v>0</v>
      </c>
      <c r="O49" s="3" t="str">
        <f t="shared" si="21"/>
        <v/>
      </c>
    </row>
    <row r="50" spans="1:15" x14ac:dyDescent="0.25">
      <c r="A50" s="6" t="s">
        <v>91</v>
      </c>
      <c r="B50" s="7">
        <v>4891789</v>
      </c>
      <c r="C50" s="7">
        <v>45131358</v>
      </c>
      <c r="D50" s="8">
        <f t="shared" si="22"/>
        <v>-12.251946792107072</v>
      </c>
      <c r="E50" s="8">
        <f t="shared" si="23"/>
        <v>-7.0873157579720676</v>
      </c>
      <c r="F50" s="3">
        <f t="shared" si="12"/>
        <v>1</v>
      </c>
      <c r="G50" s="3">
        <f t="shared" si="13"/>
        <v>1</v>
      </c>
      <c r="H50" s="3">
        <f t="shared" si="14"/>
        <v>0</v>
      </c>
      <c r="I50" s="3">
        <f t="shared" si="15"/>
        <v>1</v>
      </c>
      <c r="J50" s="3">
        <f t="shared" si="16"/>
        <v>0</v>
      </c>
      <c r="K50" s="8">
        <f t="shared" si="17"/>
        <v>-7.0873157579720676</v>
      </c>
      <c r="L50" s="8">
        <f t="shared" si="18"/>
        <v>-12.251946792107072</v>
      </c>
      <c r="M50" s="8">
        <f t="shared" si="19"/>
        <v>0</v>
      </c>
      <c r="N50" s="8">
        <f t="shared" si="20"/>
        <v>0</v>
      </c>
      <c r="O50" s="3" t="str">
        <f t="shared" si="21"/>
        <v/>
      </c>
    </row>
    <row r="51" spans="1:15" x14ac:dyDescent="0.25">
      <c r="A51" s="6" t="s">
        <v>92</v>
      </c>
      <c r="B51" s="7">
        <v>4722826</v>
      </c>
      <c r="C51" s="7">
        <v>39984571</v>
      </c>
      <c r="D51" s="8">
        <f t="shared" si="22"/>
        <v>-5.6695243815214074</v>
      </c>
      <c r="E51" s="8">
        <f t="shared" si="23"/>
        <v>-8.7746516704593436</v>
      </c>
      <c r="F51" s="3">
        <f t="shared" si="12"/>
        <v>2</v>
      </c>
      <c r="G51" s="3">
        <f t="shared" si="13"/>
        <v>0</v>
      </c>
      <c r="H51" s="3">
        <f t="shared" si="14"/>
        <v>0</v>
      </c>
      <c r="I51" s="3">
        <f t="shared" si="15"/>
        <v>0</v>
      </c>
      <c r="J51" s="3">
        <f t="shared" si="16"/>
        <v>0</v>
      </c>
      <c r="K51" s="8">
        <f t="shared" si="17"/>
        <v>0</v>
      </c>
      <c r="L51" s="8">
        <f t="shared" si="18"/>
        <v>0</v>
      </c>
      <c r="M51" s="8">
        <f t="shared" si="19"/>
        <v>0</v>
      </c>
      <c r="N51" s="8">
        <f t="shared" si="20"/>
        <v>0</v>
      </c>
      <c r="O51" s="3" t="str">
        <f t="shared" si="21"/>
        <v>Lunar New Year moves between Feb and Mar, so the y/y comparison is unreliable</v>
      </c>
    </row>
    <row r="52" spans="1:15" x14ac:dyDescent="0.25">
      <c r="A52" s="6" t="s">
        <v>93</v>
      </c>
      <c r="B52" s="7">
        <v>5112212</v>
      </c>
      <c r="C52" s="7">
        <v>45775144</v>
      </c>
      <c r="D52" s="8">
        <f t="shared" si="22"/>
        <v>-16.56318558731239</v>
      </c>
      <c r="E52" s="8">
        <f t="shared" si="23"/>
        <v>-11.947731029527741</v>
      </c>
      <c r="F52" s="3">
        <f t="shared" si="12"/>
        <v>3</v>
      </c>
      <c r="G52" s="3">
        <f t="shared" si="13"/>
        <v>0</v>
      </c>
      <c r="H52" s="3">
        <f t="shared" si="14"/>
        <v>0</v>
      </c>
      <c r="I52" s="3">
        <f t="shared" si="15"/>
        <v>0</v>
      </c>
      <c r="J52" s="3">
        <f t="shared" si="16"/>
        <v>0</v>
      </c>
      <c r="K52" s="8">
        <f t="shared" si="17"/>
        <v>0</v>
      </c>
      <c r="L52" s="8">
        <f t="shared" si="18"/>
        <v>0</v>
      </c>
      <c r="M52" s="8">
        <f t="shared" si="19"/>
        <v>0</v>
      </c>
      <c r="N52" s="8">
        <f t="shared" si="20"/>
        <v>0</v>
      </c>
      <c r="O52" s="3" t="str">
        <f t="shared" si="21"/>
        <v>Lunar New Year moves between Feb and Mar, so the y/y comparison is unreliable</v>
      </c>
    </row>
    <row r="53" spans="1:15" x14ac:dyDescent="0.25">
      <c r="A53" s="6" t="s">
        <v>94</v>
      </c>
      <c r="B53" s="7">
        <v>4879321</v>
      </c>
      <c r="C53" s="7">
        <v>43314938</v>
      </c>
      <c r="D53" s="8">
        <f t="shared" si="22"/>
        <v>-20.641549474681298</v>
      </c>
      <c r="E53" s="8">
        <f t="shared" si="23"/>
        <v>-10.952657850593706</v>
      </c>
      <c r="F53" s="3">
        <f t="shared" si="12"/>
        <v>4</v>
      </c>
      <c r="G53" s="3">
        <f t="shared" si="13"/>
        <v>1</v>
      </c>
      <c r="H53" s="3">
        <f t="shared" si="14"/>
        <v>0</v>
      </c>
      <c r="I53" s="3">
        <f t="shared" si="15"/>
        <v>1</v>
      </c>
      <c r="J53" s="3">
        <f t="shared" si="16"/>
        <v>0</v>
      </c>
      <c r="K53" s="8">
        <f t="shared" si="17"/>
        <v>-10.952657850593706</v>
      </c>
      <c r="L53" s="8">
        <f t="shared" si="18"/>
        <v>-20.641549474681298</v>
      </c>
      <c r="M53" s="8">
        <f t="shared" si="19"/>
        <v>0</v>
      </c>
      <c r="N53" s="8">
        <f t="shared" si="20"/>
        <v>0</v>
      </c>
      <c r="O53" s="3" t="str">
        <f t="shared" si="21"/>
        <v/>
      </c>
    </row>
    <row r="54" spans="1:15" x14ac:dyDescent="0.25">
      <c r="A54" s="6" t="s">
        <v>95</v>
      </c>
      <c r="B54" s="7">
        <v>5122264</v>
      </c>
      <c r="C54" s="7">
        <v>46238791</v>
      </c>
      <c r="D54" s="8">
        <f t="shared" si="22"/>
        <v>-18.295790998580696</v>
      </c>
      <c r="E54" s="8">
        <f t="shared" si="23"/>
        <v>-14.052160698557103</v>
      </c>
      <c r="F54" s="3">
        <f t="shared" si="12"/>
        <v>5</v>
      </c>
      <c r="G54" s="3">
        <f t="shared" si="13"/>
        <v>1</v>
      </c>
      <c r="H54" s="3">
        <f t="shared" si="14"/>
        <v>0</v>
      </c>
      <c r="I54" s="3">
        <f t="shared" si="15"/>
        <v>1</v>
      </c>
      <c r="J54" s="3">
        <f t="shared" si="16"/>
        <v>0</v>
      </c>
      <c r="K54" s="8">
        <f t="shared" si="17"/>
        <v>-14.052160698557103</v>
      </c>
      <c r="L54" s="8">
        <f t="shared" si="18"/>
        <v>-18.295790998580696</v>
      </c>
      <c r="M54" s="8">
        <f t="shared" si="19"/>
        <v>0</v>
      </c>
      <c r="N54" s="8">
        <f t="shared" si="20"/>
        <v>0</v>
      </c>
      <c r="O54" s="3" t="str">
        <f t="shared" si="21"/>
        <v/>
      </c>
    </row>
    <row r="55" spans="1:15" x14ac:dyDescent="0.25">
      <c r="A55" s="6" t="s">
        <v>96</v>
      </c>
      <c r="B55" s="7">
        <v>5284882</v>
      </c>
      <c r="C55" s="7">
        <v>46721623</v>
      </c>
      <c r="D55" s="8">
        <f t="shared" si="22"/>
        <v>-15.484618976645404</v>
      </c>
      <c r="E55" s="8">
        <f t="shared" si="23"/>
        <v>-19.442365005861696</v>
      </c>
      <c r="F55" s="3">
        <f t="shared" si="12"/>
        <v>6</v>
      </c>
      <c r="G55" s="3">
        <f t="shared" si="13"/>
        <v>1</v>
      </c>
      <c r="H55" s="3">
        <f t="shared" si="14"/>
        <v>0</v>
      </c>
      <c r="I55" s="3">
        <f t="shared" si="15"/>
        <v>1</v>
      </c>
      <c r="J55" s="3">
        <f t="shared" si="16"/>
        <v>0</v>
      </c>
      <c r="K55" s="8">
        <f t="shared" si="17"/>
        <v>-19.442365005861696</v>
      </c>
      <c r="L55" s="8">
        <f t="shared" si="18"/>
        <v>-15.484618976645404</v>
      </c>
      <c r="M55" s="8">
        <f t="shared" si="19"/>
        <v>0</v>
      </c>
      <c r="N55" s="8">
        <f t="shared" si="20"/>
        <v>0</v>
      </c>
      <c r="O55" s="3" t="str">
        <f t="shared" si="21"/>
        <v/>
      </c>
    </row>
    <row r="56" spans="1:15" x14ac:dyDescent="0.25">
      <c r="A56" s="6" t="s">
        <v>97</v>
      </c>
      <c r="B56" s="7">
        <v>5411009</v>
      </c>
      <c r="C56" s="7">
        <v>48353336</v>
      </c>
      <c r="D56" s="8">
        <f t="shared" si="22"/>
        <v>-12.213113304598899</v>
      </c>
      <c r="E56" s="8">
        <f t="shared" si="23"/>
        <v>-16.871682027152634</v>
      </c>
      <c r="F56" s="3">
        <f t="shared" si="12"/>
        <v>7</v>
      </c>
      <c r="G56" s="3">
        <f t="shared" si="13"/>
        <v>1</v>
      </c>
      <c r="H56" s="3">
        <f t="shared" si="14"/>
        <v>0</v>
      </c>
      <c r="I56" s="3">
        <f t="shared" si="15"/>
        <v>1</v>
      </c>
      <c r="J56" s="3">
        <f t="shared" si="16"/>
        <v>0</v>
      </c>
      <c r="K56" s="8">
        <f t="shared" si="17"/>
        <v>-16.871682027152634</v>
      </c>
      <c r="L56" s="8">
        <f t="shared" si="18"/>
        <v>-12.213113304598899</v>
      </c>
      <c r="M56" s="8">
        <f t="shared" si="19"/>
        <v>0</v>
      </c>
      <c r="N56" s="8">
        <f t="shared" si="20"/>
        <v>0</v>
      </c>
      <c r="O56" s="3" t="str">
        <f t="shared" si="21"/>
        <v/>
      </c>
    </row>
    <row r="57" spans="1:15" x14ac:dyDescent="0.25">
      <c r="A57" s="6" t="s">
        <v>98</v>
      </c>
      <c r="B57" s="7">
        <v>5551424</v>
      </c>
      <c r="C57" s="7">
        <v>52278801</v>
      </c>
      <c r="D57" s="8">
        <f t="shared" si="22"/>
        <v>-4.0529726788762988</v>
      </c>
      <c r="E57" s="8">
        <f t="shared" si="23"/>
        <v>-18.067144887801522</v>
      </c>
      <c r="F57" s="3">
        <f t="shared" si="12"/>
        <v>8</v>
      </c>
      <c r="G57" s="3">
        <f t="shared" si="13"/>
        <v>1</v>
      </c>
      <c r="H57" s="3">
        <f t="shared" si="14"/>
        <v>0</v>
      </c>
      <c r="I57" s="3">
        <f t="shared" si="15"/>
        <v>1</v>
      </c>
      <c r="J57" s="3">
        <f t="shared" si="16"/>
        <v>0</v>
      </c>
      <c r="K57" s="8">
        <f t="shared" si="17"/>
        <v>-18.067144887801522</v>
      </c>
      <c r="L57" s="8">
        <f t="shared" si="18"/>
        <v>-4.0529726788762988</v>
      </c>
      <c r="M57" s="8">
        <f t="shared" si="19"/>
        <v>0</v>
      </c>
      <c r="N57" s="8">
        <f t="shared" si="20"/>
        <v>0</v>
      </c>
      <c r="O57" s="3" t="str">
        <f t="shared" si="21"/>
        <v/>
      </c>
    </row>
    <row r="58" spans="1:15" x14ac:dyDescent="0.25">
      <c r="A58" s="6" t="s">
        <v>99</v>
      </c>
      <c r="B58" s="7">
        <v>5524998</v>
      </c>
      <c r="C58" s="7">
        <v>53534708</v>
      </c>
      <c r="D58" s="8">
        <f t="shared" si="22"/>
        <v>-5.2277587909218992</v>
      </c>
      <c r="E58" s="8">
        <f t="shared" si="23"/>
        <v>-19.67974827419291</v>
      </c>
      <c r="F58" s="3">
        <f t="shared" si="12"/>
        <v>9</v>
      </c>
      <c r="G58" s="3">
        <f t="shared" si="13"/>
        <v>1</v>
      </c>
      <c r="H58" s="3">
        <f t="shared" si="14"/>
        <v>0</v>
      </c>
      <c r="I58" s="3">
        <f t="shared" si="15"/>
        <v>1</v>
      </c>
      <c r="J58" s="3">
        <f t="shared" si="16"/>
        <v>0</v>
      </c>
      <c r="K58" s="8">
        <f t="shared" si="17"/>
        <v>-19.67974827419291</v>
      </c>
      <c r="L58" s="8">
        <f t="shared" si="18"/>
        <v>-5.2277587909218992</v>
      </c>
      <c r="M58" s="8">
        <f t="shared" si="19"/>
        <v>0</v>
      </c>
      <c r="N58" s="8">
        <f t="shared" si="20"/>
        <v>0</v>
      </c>
      <c r="O58" s="3" t="str">
        <f t="shared" si="21"/>
        <v/>
      </c>
    </row>
    <row r="59" spans="1:15" x14ac:dyDescent="0.25">
      <c r="A59" s="6" t="s">
        <v>100</v>
      </c>
      <c r="B59" s="7">
        <v>5519739</v>
      </c>
      <c r="C59" s="7">
        <v>56166613</v>
      </c>
      <c r="D59" s="8">
        <f t="shared" si="22"/>
        <v>-4.3179602120705489</v>
      </c>
      <c r="E59" s="8">
        <f t="shared" si="23"/>
        <v>-12.474153034295199</v>
      </c>
      <c r="F59" s="3">
        <f t="shared" si="12"/>
        <v>10</v>
      </c>
      <c r="G59" s="3">
        <f t="shared" si="13"/>
        <v>1</v>
      </c>
      <c r="H59" s="3">
        <f t="shared" si="14"/>
        <v>0</v>
      </c>
      <c r="I59" s="3">
        <f t="shared" si="15"/>
        <v>1</v>
      </c>
      <c r="J59" s="3">
        <f t="shared" si="16"/>
        <v>0</v>
      </c>
      <c r="K59" s="8">
        <f t="shared" si="17"/>
        <v>-12.474153034295199</v>
      </c>
      <c r="L59" s="8">
        <f t="shared" si="18"/>
        <v>-4.3179602120705489</v>
      </c>
      <c r="M59" s="8">
        <f t="shared" si="19"/>
        <v>0</v>
      </c>
      <c r="N59" s="8">
        <f t="shared" si="20"/>
        <v>0</v>
      </c>
      <c r="O59" s="3" t="str">
        <f t="shared" si="21"/>
        <v/>
      </c>
    </row>
    <row r="60" spans="1:15" x14ac:dyDescent="0.25">
      <c r="A60" s="6" t="s">
        <v>101</v>
      </c>
      <c r="B60" s="7">
        <v>5344430</v>
      </c>
      <c r="C60" s="7">
        <v>54509085</v>
      </c>
      <c r="D60" s="8">
        <f t="shared" si="22"/>
        <v>-3.6012428378636274</v>
      </c>
      <c r="E60" s="8">
        <f t="shared" si="23"/>
        <v>-9.3130852500755701</v>
      </c>
      <c r="F60" s="3">
        <f t="shared" si="12"/>
        <v>11</v>
      </c>
      <c r="G60" s="3">
        <f t="shared" si="13"/>
        <v>1</v>
      </c>
      <c r="H60" s="3">
        <f t="shared" si="14"/>
        <v>0</v>
      </c>
      <c r="I60" s="3">
        <f t="shared" si="15"/>
        <v>1</v>
      </c>
      <c r="J60" s="3">
        <f t="shared" si="16"/>
        <v>0</v>
      </c>
      <c r="K60" s="8">
        <f t="shared" si="17"/>
        <v>-9.3130852500755701</v>
      </c>
      <c r="L60" s="8">
        <f t="shared" si="18"/>
        <v>-3.6012428378636274</v>
      </c>
      <c r="M60" s="8">
        <f t="shared" si="19"/>
        <v>0</v>
      </c>
      <c r="N60" s="8">
        <f t="shared" si="20"/>
        <v>0</v>
      </c>
      <c r="O60" s="3" t="str">
        <f t="shared" si="21"/>
        <v/>
      </c>
    </row>
    <row r="61" spans="1:15" x14ac:dyDescent="0.25">
      <c r="A61" s="6" t="s">
        <v>102</v>
      </c>
      <c r="B61" s="7">
        <v>5192148</v>
      </c>
      <c r="C61" s="7">
        <v>49905503</v>
      </c>
      <c r="D61" s="8">
        <f t="shared" si="22"/>
        <v>-5.6598994594313723</v>
      </c>
      <c r="E61" s="8">
        <f t="shared" si="23"/>
        <v>-6.0847828414327569</v>
      </c>
      <c r="F61" s="3">
        <f t="shared" si="12"/>
        <v>12</v>
      </c>
      <c r="G61" s="3">
        <f t="shared" si="13"/>
        <v>1</v>
      </c>
      <c r="H61" s="3">
        <f t="shared" si="14"/>
        <v>0</v>
      </c>
      <c r="I61" s="3">
        <f t="shared" si="15"/>
        <v>1</v>
      </c>
      <c r="J61" s="3">
        <f t="shared" si="16"/>
        <v>0</v>
      </c>
      <c r="K61" s="8">
        <f t="shared" si="17"/>
        <v>-6.0847828414327569</v>
      </c>
      <c r="L61" s="8">
        <f t="shared" si="18"/>
        <v>-5.6598994594313723</v>
      </c>
      <c r="M61" s="8">
        <f t="shared" si="19"/>
        <v>0</v>
      </c>
      <c r="N61" s="8">
        <f t="shared" si="20"/>
        <v>0</v>
      </c>
      <c r="O61" s="3" t="str">
        <f t="shared" si="21"/>
        <v/>
      </c>
    </row>
    <row r="62" spans="1:15" x14ac:dyDescent="0.25">
      <c r="A62" s="6" t="s">
        <v>103</v>
      </c>
      <c r="B62" s="7">
        <v>5265408</v>
      </c>
      <c r="C62" s="7">
        <v>47390354</v>
      </c>
      <c r="D62" s="8">
        <f t="shared" si="22"/>
        <v>7.637676113994285</v>
      </c>
      <c r="E62" s="8">
        <f t="shared" si="23"/>
        <v>5.0053800729860543</v>
      </c>
      <c r="F62" s="3">
        <f t="shared" si="12"/>
        <v>1</v>
      </c>
      <c r="G62" s="3">
        <f t="shared" si="13"/>
        <v>1</v>
      </c>
      <c r="H62" s="3">
        <f t="shared" si="14"/>
        <v>0</v>
      </c>
      <c r="I62" s="3">
        <f t="shared" si="15"/>
        <v>1</v>
      </c>
      <c r="J62" s="3">
        <f t="shared" si="16"/>
        <v>0</v>
      </c>
      <c r="K62" s="8">
        <f t="shared" si="17"/>
        <v>5.0053800729860543</v>
      </c>
      <c r="L62" s="8">
        <f t="shared" si="18"/>
        <v>7.637676113994285</v>
      </c>
      <c r="M62" s="8">
        <f t="shared" si="19"/>
        <v>0</v>
      </c>
      <c r="N62" s="8">
        <f t="shared" si="20"/>
        <v>0</v>
      </c>
      <c r="O62" s="3" t="str">
        <f t="shared" si="21"/>
        <v/>
      </c>
    </row>
    <row r="63" spans="1:15" x14ac:dyDescent="0.25">
      <c r="A63" s="6" t="s">
        <v>104</v>
      </c>
      <c r="B63" s="7">
        <v>4894472</v>
      </c>
      <c r="C63" s="7">
        <v>39751076</v>
      </c>
      <c r="D63" s="8">
        <f t="shared" si="22"/>
        <v>3.6343917815307991</v>
      </c>
      <c r="E63" s="8">
        <f t="shared" si="23"/>
        <v>-0.58396274903137479</v>
      </c>
      <c r="F63" s="3">
        <f t="shared" si="12"/>
        <v>2</v>
      </c>
      <c r="G63" s="3">
        <f t="shared" si="13"/>
        <v>0</v>
      </c>
      <c r="H63" s="3">
        <f t="shared" si="14"/>
        <v>0</v>
      </c>
      <c r="I63" s="3">
        <f t="shared" si="15"/>
        <v>0</v>
      </c>
      <c r="J63" s="3">
        <f t="shared" si="16"/>
        <v>0</v>
      </c>
      <c r="K63" s="8">
        <f t="shared" si="17"/>
        <v>0</v>
      </c>
      <c r="L63" s="8">
        <f t="shared" si="18"/>
        <v>0</v>
      </c>
      <c r="M63" s="8">
        <f t="shared" si="19"/>
        <v>0</v>
      </c>
      <c r="N63" s="8">
        <f t="shared" si="20"/>
        <v>0</v>
      </c>
      <c r="O63" s="3" t="str">
        <f t="shared" si="21"/>
        <v>Lunar New Year moves between Feb and Mar, so the y/y comparison is unreliable</v>
      </c>
    </row>
    <row r="64" spans="1:15" x14ac:dyDescent="0.25">
      <c r="A64" s="6" t="s">
        <v>105</v>
      </c>
      <c r="B64" s="7">
        <v>5484346</v>
      </c>
      <c r="C64" s="7">
        <v>45661425</v>
      </c>
      <c r="D64" s="8">
        <f t="shared" si="22"/>
        <v>7.2793147076060327</v>
      </c>
      <c r="E64" s="8">
        <f t="shared" si="23"/>
        <v>-0.24842958440501883</v>
      </c>
      <c r="F64" s="3">
        <f t="shared" si="12"/>
        <v>3</v>
      </c>
      <c r="G64" s="3">
        <f t="shared" si="13"/>
        <v>0</v>
      </c>
      <c r="H64" s="3">
        <f t="shared" si="14"/>
        <v>0</v>
      </c>
      <c r="I64" s="3">
        <f t="shared" si="15"/>
        <v>0</v>
      </c>
      <c r="J64" s="3">
        <f t="shared" si="16"/>
        <v>0</v>
      </c>
      <c r="K64" s="8">
        <f t="shared" si="17"/>
        <v>0</v>
      </c>
      <c r="L64" s="8">
        <f t="shared" si="18"/>
        <v>0</v>
      </c>
      <c r="M64" s="8">
        <f t="shared" si="19"/>
        <v>0</v>
      </c>
      <c r="N64" s="8">
        <f t="shared" si="20"/>
        <v>0</v>
      </c>
      <c r="O64" s="3" t="str">
        <f t="shared" si="21"/>
        <v>Lunar New Year moves between Feb and Mar, so the y/y comparison is unreliable</v>
      </c>
    </row>
    <row r="65" spans="1:15" x14ac:dyDescent="0.25">
      <c r="A65" s="6" t="s">
        <v>106</v>
      </c>
      <c r="B65" s="7">
        <v>4650743</v>
      </c>
      <c r="C65" s="7">
        <v>45819887</v>
      </c>
      <c r="D65" s="8">
        <f t="shared" si="22"/>
        <v>-4.6846272257963779</v>
      </c>
      <c r="E65" s="8">
        <f t="shared" si="23"/>
        <v>5.7831065116611624</v>
      </c>
      <c r="F65" s="3">
        <f t="shared" si="12"/>
        <v>4</v>
      </c>
      <c r="G65" s="3">
        <f t="shared" si="13"/>
        <v>1</v>
      </c>
      <c r="H65" s="3">
        <f t="shared" si="14"/>
        <v>0</v>
      </c>
      <c r="I65" s="3">
        <f t="shared" si="15"/>
        <v>1</v>
      </c>
      <c r="J65" s="3">
        <f t="shared" si="16"/>
        <v>0</v>
      </c>
      <c r="K65" s="8">
        <f t="shared" si="17"/>
        <v>5.7831065116611624</v>
      </c>
      <c r="L65" s="8">
        <f t="shared" si="18"/>
        <v>-4.6846272257963779</v>
      </c>
      <c r="M65" s="8">
        <f t="shared" si="19"/>
        <v>0</v>
      </c>
      <c r="N65" s="8">
        <f t="shared" si="20"/>
        <v>0</v>
      </c>
      <c r="O65" s="3" t="str">
        <f t="shared" si="21"/>
        <v/>
      </c>
    </row>
    <row r="66" spans="1:15" x14ac:dyDescent="0.25">
      <c r="A66" s="6" t="s">
        <v>107</v>
      </c>
      <c r="B66" s="7">
        <v>4917082</v>
      </c>
      <c r="C66" s="7">
        <v>47492772</v>
      </c>
      <c r="D66" s="8">
        <f t="shared" si="22"/>
        <v>-4.0056896715983452</v>
      </c>
      <c r="E66" s="8">
        <f t="shared" si="23"/>
        <v>2.7119675339262184</v>
      </c>
      <c r="F66" s="3">
        <f t="shared" ref="F66:F91" si="24">VALUE(MID(A66,6,2))</f>
        <v>5</v>
      </c>
      <c r="G66" s="3">
        <f t="shared" ref="G66:G97" si="25">IF(AND(ROW()&gt;=14,F66&lt;&gt;2,F66&lt;&gt;3),1,0)</f>
        <v>1</v>
      </c>
      <c r="H66" s="3">
        <f t="shared" ref="H66:H91" si="26">IF(LEFT(A66,4)*1&gt;=2025,1,0)</f>
        <v>0</v>
      </c>
      <c r="I66" s="3">
        <f t="shared" ref="I66:I97" si="27">IF(AND(G66=1,H66=0),1,0)</f>
        <v>1</v>
      </c>
      <c r="J66" s="3">
        <f t="shared" ref="J66:J91" si="28">IF(AND(G66=1,H66=1),1,0)</f>
        <v>0</v>
      </c>
      <c r="K66" s="8">
        <f t="shared" ref="K66:K91" si="29">IF(I66=1,E66,0)</f>
        <v>2.7119675339262184</v>
      </c>
      <c r="L66" s="8">
        <f t="shared" ref="L66:L91" si="30">IF(I66=1,D66,0)</f>
        <v>-4.0056896715983452</v>
      </c>
      <c r="M66" s="8">
        <f t="shared" ref="M66:M91" si="31">IF(J66=1,E66,0)</f>
        <v>0</v>
      </c>
      <c r="N66" s="8">
        <f t="shared" ref="N66:N91" si="32">IF(J66=1,D66,0)</f>
        <v>0</v>
      </c>
      <c r="O66" s="3" t="str">
        <f t="shared" ref="O66:O91" si="33">IF(G66=1,"",IF(ROW()&lt;14,"No prior-year base for a y/y comparison","Lunar New Year moves between Feb and Mar, so the y/y comparison is unreliable"))</f>
        <v/>
      </c>
    </row>
    <row r="67" spans="1:15" x14ac:dyDescent="0.25">
      <c r="A67" s="6" t="s">
        <v>108</v>
      </c>
      <c r="B67" s="7">
        <v>4831137</v>
      </c>
      <c r="C67" s="7">
        <v>46925404</v>
      </c>
      <c r="D67" s="8">
        <f t="shared" si="22"/>
        <v>-8.5857167671861028</v>
      </c>
      <c r="E67" s="8">
        <f t="shared" si="23"/>
        <v>0.43615993391326047</v>
      </c>
      <c r="F67" s="3">
        <f t="shared" si="24"/>
        <v>6</v>
      </c>
      <c r="G67" s="3">
        <f t="shared" si="25"/>
        <v>1</v>
      </c>
      <c r="H67" s="3">
        <f t="shared" si="26"/>
        <v>0</v>
      </c>
      <c r="I67" s="3">
        <f t="shared" si="27"/>
        <v>1</v>
      </c>
      <c r="J67" s="3">
        <f t="shared" si="28"/>
        <v>0</v>
      </c>
      <c r="K67" s="8">
        <f t="shared" si="29"/>
        <v>0.43615993391326047</v>
      </c>
      <c r="L67" s="8">
        <f t="shared" si="30"/>
        <v>-8.5857167671861028</v>
      </c>
      <c r="M67" s="8">
        <f t="shared" si="31"/>
        <v>0</v>
      </c>
      <c r="N67" s="8">
        <f t="shared" si="32"/>
        <v>0</v>
      </c>
      <c r="O67" s="3" t="str">
        <f t="shared" si="33"/>
        <v/>
      </c>
    </row>
    <row r="68" spans="1:15" x14ac:dyDescent="0.25">
      <c r="A68" s="6" t="s">
        <v>109</v>
      </c>
      <c r="B68" s="7">
        <v>5004075</v>
      </c>
      <c r="C68" s="7">
        <v>51595954</v>
      </c>
      <c r="D68" s="8">
        <f t="shared" si="22"/>
        <v>-7.5204827787201944</v>
      </c>
      <c r="E68" s="8">
        <f t="shared" si="23"/>
        <v>6.7060895239989149</v>
      </c>
      <c r="F68" s="3">
        <f t="shared" si="24"/>
        <v>7</v>
      </c>
      <c r="G68" s="3">
        <f t="shared" si="25"/>
        <v>1</v>
      </c>
      <c r="H68" s="3">
        <f t="shared" si="26"/>
        <v>0</v>
      </c>
      <c r="I68" s="3">
        <f t="shared" si="27"/>
        <v>1</v>
      </c>
      <c r="J68" s="3">
        <f t="shared" si="28"/>
        <v>0</v>
      </c>
      <c r="K68" s="8">
        <f t="shared" si="29"/>
        <v>6.7060895239989149</v>
      </c>
      <c r="L68" s="8">
        <f t="shared" si="30"/>
        <v>-7.5204827787201944</v>
      </c>
      <c r="M68" s="8">
        <f t="shared" si="31"/>
        <v>0</v>
      </c>
      <c r="N68" s="8">
        <f t="shared" si="32"/>
        <v>0</v>
      </c>
      <c r="O68" s="3" t="str">
        <f t="shared" si="33"/>
        <v/>
      </c>
    </row>
    <row r="69" spans="1:15" x14ac:dyDescent="0.25">
      <c r="A69" s="6" t="s">
        <v>110</v>
      </c>
      <c r="B69" s="7">
        <v>4995257</v>
      </c>
      <c r="C69" s="7">
        <v>52929761</v>
      </c>
      <c r="D69" s="8">
        <f t="shared" si="22"/>
        <v>-10.018456525749064</v>
      </c>
      <c r="E69" s="8">
        <f t="shared" si="23"/>
        <v>1.2451701025048445</v>
      </c>
      <c r="F69" s="3">
        <f t="shared" si="24"/>
        <v>8</v>
      </c>
      <c r="G69" s="3">
        <f t="shared" si="25"/>
        <v>1</v>
      </c>
      <c r="H69" s="3">
        <f t="shared" si="26"/>
        <v>0</v>
      </c>
      <c r="I69" s="3">
        <f t="shared" si="27"/>
        <v>1</v>
      </c>
      <c r="J69" s="3">
        <f t="shared" si="28"/>
        <v>0</v>
      </c>
      <c r="K69" s="8">
        <f t="shared" si="29"/>
        <v>1.2451701025048445</v>
      </c>
      <c r="L69" s="8">
        <f t="shared" si="30"/>
        <v>-10.018456525749064</v>
      </c>
      <c r="M69" s="8">
        <f t="shared" si="31"/>
        <v>0</v>
      </c>
      <c r="N69" s="8">
        <f t="shared" si="32"/>
        <v>0</v>
      </c>
      <c r="O69" s="3" t="str">
        <f t="shared" si="33"/>
        <v/>
      </c>
    </row>
    <row r="70" spans="1:15" x14ac:dyDescent="0.25">
      <c r="A70" s="6" t="s">
        <v>111</v>
      </c>
      <c r="B70" s="7">
        <v>4996871</v>
      </c>
      <c r="C70" s="7">
        <v>55579391</v>
      </c>
      <c r="D70" s="8">
        <f t="shared" si="22"/>
        <v>-9.5588631887287612</v>
      </c>
      <c r="E70" s="8">
        <f t="shared" si="23"/>
        <v>3.8193595825721127</v>
      </c>
      <c r="F70" s="3">
        <f t="shared" si="24"/>
        <v>9</v>
      </c>
      <c r="G70" s="3">
        <f t="shared" si="25"/>
        <v>1</v>
      </c>
      <c r="H70" s="3">
        <f t="shared" si="26"/>
        <v>0</v>
      </c>
      <c r="I70" s="3">
        <f t="shared" si="27"/>
        <v>1</v>
      </c>
      <c r="J70" s="3">
        <f t="shared" si="28"/>
        <v>0</v>
      </c>
      <c r="K70" s="8">
        <f t="shared" si="29"/>
        <v>3.8193595825721127</v>
      </c>
      <c r="L70" s="8">
        <f t="shared" si="30"/>
        <v>-9.5588631887287612</v>
      </c>
      <c r="M70" s="8">
        <f t="shared" si="31"/>
        <v>0</v>
      </c>
      <c r="N70" s="8">
        <f t="shared" si="32"/>
        <v>0</v>
      </c>
      <c r="O70" s="3" t="str">
        <f t="shared" si="33"/>
        <v/>
      </c>
    </row>
    <row r="71" spans="1:15" x14ac:dyDescent="0.25">
      <c r="A71" s="6" t="s">
        <v>112</v>
      </c>
      <c r="B71" s="7">
        <v>5161631</v>
      </c>
      <c r="C71" s="7">
        <v>56425583</v>
      </c>
      <c r="D71" s="8">
        <f t="shared" si="22"/>
        <v>-6.4877705268310715</v>
      </c>
      <c r="E71" s="8">
        <f t="shared" si="23"/>
        <v>0.4610746245282682</v>
      </c>
      <c r="F71" s="3">
        <f t="shared" si="24"/>
        <v>10</v>
      </c>
      <c r="G71" s="3">
        <f t="shared" si="25"/>
        <v>1</v>
      </c>
      <c r="H71" s="3">
        <f t="shared" si="26"/>
        <v>0</v>
      </c>
      <c r="I71" s="3">
        <f t="shared" si="27"/>
        <v>1</v>
      </c>
      <c r="J71" s="3">
        <f t="shared" si="28"/>
        <v>0</v>
      </c>
      <c r="K71" s="8">
        <f t="shared" si="29"/>
        <v>0.4610746245282682</v>
      </c>
      <c r="L71" s="8">
        <f t="shared" si="30"/>
        <v>-6.4877705268310715</v>
      </c>
      <c r="M71" s="8">
        <f t="shared" si="31"/>
        <v>0</v>
      </c>
      <c r="N71" s="8">
        <f t="shared" si="32"/>
        <v>0</v>
      </c>
      <c r="O71" s="3" t="str">
        <f t="shared" si="33"/>
        <v/>
      </c>
    </row>
    <row r="72" spans="1:15" x14ac:dyDescent="0.25">
      <c r="A72" s="6" t="s">
        <v>113</v>
      </c>
      <c r="B72" s="7">
        <v>5093382</v>
      </c>
      <c r="C72" s="7">
        <v>52933333</v>
      </c>
      <c r="D72" s="8">
        <f t="shared" si="22"/>
        <v>-4.6973765209760483</v>
      </c>
      <c r="E72" s="8">
        <f t="shared" si="23"/>
        <v>-2.8908061839599819</v>
      </c>
      <c r="F72" s="3">
        <f t="shared" si="24"/>
        <v>11</v>
      </c>
      <c r="G72" s="3">
        <f t="shared" si="25"/>
        <v>1</v>
      </c>
      <c r="H72" s="3">
        <f t="shared" si="26"/>
        <v>0</v>
      </c>
      <c r="I72" s="3">
        <f t="shared" si="27"/>
        <v>1</v>
      </c>
      <c r="J72" s="3">
        <f t="shared" si="28"/>
        <v>0</v>
      </c>
      <c r="K72" s="8">
        <f t="shared" si="29"/>
        <v>-2.8908061839599819</v>
      </c>
      <c r="L72" s="8">
        <f t="shared" si="30"/>
        <v>-4.6973765209760483</v>
      </c>
      <c r="M72" s="8">
        <f t="shared" si="31"/>
        <v>0</v>
      </c>
      <c r="N72" s="8">
        <f t="shared" si="32"/>
        <v>0</v>
      </c>
      <c r="O72" s="3" t="str">
        <f t="shared" si="33"/>
        <v/>
      </c>
    </row>
    <row r="73" spans="1:15" x14ac:dyDescent="0.25">
      <c r="A73" s="6" t="s">
        <v>114</v>
      </c>
      <c r="B73" s="7">
        <v>5117908</v>
      </c>
      <c r="C73" s="7">
        <v>52904645</v>
      </c>
      <c r="D73" s="8">
        <f t="shared" si="22"/>
        <v>-1.4298513832810666</v>
      </c>
      <c r="E73" s="8">
        <f t="shared" si="23"/>
        <v>6.0096418625416925</v>
      </c>
      <c r="F73" s="3">
        <f t="shared" si="24"/>
        <v>12</v>
      </c>
      <c r="G73" s="3">
        <f t="shared" si="25"/>
        <v>1</v>
      </c>
      <c r="H73" s="3">
        <f t="shared" si="26"/>
        <v>0</v>
      </c>
      <c r="I73" s="3">
        <f t="shared" si="27"/>
        <v>1</v>
      </c>
      <c r="J73" s="3">
        <f t="shared" si="28"/>
        <v>0</v>
      </c>
      <c r="K73" s="8">
        <f t="shared" si="29"/>
        <v>6.0096418625416925</v>
      </c>
      <c r="L73" s="8">
        <f t="shared" si="30"/>
        <v>-1.4298513832810666</v>
      </c>
      <c r="M73" s="8">
        <f t="shared" si="31"/>
        <v>0</v>
      </c>
      <c r="N73" s="8">
        <f t="shared" si="32"/>
        <v>0</v>
      </c>
      <c r="O73" s="3" t="str">
        <f t="shared" si="33"/>
        <v/>
      </c>
    </row>
    <row r="74" spans="1:15" x14ac:dyDescent="0.25">
      <c r="A74" s="6" t="s">
        <v>115</v>
      </c>
      <c r="B74" s="7">
        <v>5058351</v>
      </c>
      <c r="C74" s="7">
        <v>49444261</v>
      </c>
      <c r="D74" s="8">
        <f t="shared" si="22"/>
        <v>-3.932401819574094</v>
      </c>
      <c r="E74" s="8">
        <f t="shared" si="23"/>
        <v>4.3340191128346417</v>
      </c>
      <c r="F74" s="3">
        <f t="shared" si="24"/>
        <v>1</v>
      </c>
      <c r="G74" s="3">
        <f t="shared" si="25"/>
        <v>1</v>
      </c>
      <c r="H74" s="3">
        <f t="shared" si="26"/>
        <v>1</v>
      </c>
      <c r="I74" s="3">
        <f t="shared" si="27"/>
        <v>0</v>
      </c>
      <c r="J74" s="3">
        <f t="shared" si="28"/>
        <v>1</v>
      </c>
      <c r="K74" s="8">
        <f t="shared" si="29"/>
        <v>0</v>
      </c>
      <c r="L74" s="8">
        <f t="shared" si="30"/>
        <v>0</v>
      </c>
      <c r="M74" s="8">
        <f t="shared" si="31"/>
        <v>4.3340191128346417</v>
      </c>
      <c r="N74" s="8">
        <f t="shared" si="32"/>
        <v>-3.932401819574094</v>
      </c>
      <c r="O74" s="3" t="str">
        <f t="shared" si="33"/>
        <v/>
      </c>
    </row>
    <row r="75" spans="1:15" x14ac:dyDescent="0.25">
      <c r="A75" s="6" t="s">
        <v>116</v>
      </c>
      <c r="B75" s="7">
        <v>4799754</v>
      </c>
      <c r="C75" s="7">
        <v>44960788</v>
      </c>
      <c r="D75" s="8">
        <f t="shared" si="22"/>
        <v>-1.9352036338138201</v>
      </c>
      <c r="E75" s="8">
        <f t="shared" si="23"/>
        <v>13.105838946347003</v>
      </c>
      <c r="F75" s="3">
        <f t="shared" si="24"/>
        <v>2</v>
      </c>
      <c r="G75" s="3">
        <f t="shared" si="25"/>
        <v>0</v>
      </c>
      <c r="H75" s="3">
        <f t="shared" si="26"/>
        <v>1</v>
      </c>
      <c r="I75" s="3">
        <f t="shared" si="27"/>
        <v>0</v>
      </c>
      <c r="J75" s="3">
        <f t="shared" si="28"/>
        <v>0</v>
      </c>
      <c r="K75" s="8">
        <f t="shared" si="29"/>
        <v>0</v>
      </c>
      <c r="L75" s="8">
        <f t="shared" si="30"/>
        <v>0</v>
      </c>
      <c r="M75" s="8">
        <f t="shared" si="31"/>
        <v>0</v>
      </c>
      <c r="N75" s="8">
        <f t="shared" si="32"/>
        <v>0</v>
      </c>
      <c r="O75" s="3" t="str">
        <f t="shared" si="33"/>
        <v>Lunar New Year moves between Feb and Mar, so the y/y comparison is unreliable</v>
      </c>
    </row>
    <row r="76" spans="1:15" x14ac:dyDescent="0.25">
      <c r="A76" s="6" t="s">
        <v>117</v>
      </c>
      <c r="B76" s="7">
        <v>5354923</v>
      </c>
      <c r="C76" s="7">
        <v>53748213</v>
      </c>
      <c r="D76" s="8">
        <f t="shared" si="22"/>
        <v>-2.3598620510084545</v>
      </c>
      <c r="E76" s="8">
        <f t="shared" si="23"/>
        <v>17.7103277000225</v>
      </c>
      <c r="F76" s="3">
        <f t="shared" si="24"/>
        <v>3</v>
      </c>
      <c r="G76" s="3">
        <f t="shared" si="25"/>
        <v>0</v>
      </c>
      <c r="H76" s="3">
        <f t="shared" si="26"/>
        <v>1</v>
      </c>
      <c r="I76" s="3">
        <f t="shared" si="27"/>
        <v>0</v>
      </c>
      <c r="J76" s="3">
        <f t="shared" si="28"/>
        <v>0</v>
      </c>
      <c r="K76" s="8">
        <f t="shared" si="29"/>
        <v>0</v>
      </c>
      <c r="L76" s="8">
        <f t="shared" si="30"/>
        <v>0</v>
      </c>
      <c r="M76" s="8">
        <f t="shared" si="31"/>
        <v>0</v>
      </c>
      <c r="N76" s="8">
        <f t="shared" si="32"/>
        <v>0</v>
      </c>
      <c r="O76" s="3" t="str">
        <f t="shared" si="33"/>
        <v>Lunar New Year moves between Feb and Mar, so the y/y comparison is unreliable</v>
      </c>
    </row>
    <row r="77" spans="1:15" x14ac:dyDescent="0.25">
      <c r="A77" s="6" t="s">
        <v>118</v>
      </c>
      <c r="B77" s="7">
        <v>5489588</v>
      </c>
      <c r="C77" s="7">
        <v>52210767</v>
      </c>
      <c r="D77" s="8">
        <f t="shared" si="22"/>
        <v>18.036795410969809</v>
      </c>
      <c r="E77" s="8">
        <f t="shared" si="23"/>
        <v>13.947830120139759</v>
      </c>
      <c r="F77" s="3">
        <f t="shared" si="24"/>
        <v>4</v>
      </c>
      <c r="G77" s="3">
        <f t="shared" si="25"/>
        <v>1</v>
      </c>
      <c r="H77" s="3">
        <f t="shared" si="26"/>
        <v>1</v>
      </c>
      <c r="I77" s="3">
        <f t="shared" si="27"/>
        <v>0</v>
      </c>
      <c r="J77" s="3">
        <f t="shared" si="28"/>
        <v>1</v>
      </c>
      <c r="K77" s="8">
        <f t="shared" si="29"/>
        <v>0</v>
      </c>
      <c r="L77" s="8">
        <f t="shared" si="30"/>
        <v>0</v>
      </c>
      <c r="M77" s="8">
        <f t="shared" si="31"/>
        <v>13.947830120139759</v>
      </c>
      <c r="N77" s="8">
        <f t="shared" si="32"/>
        <v>18.036795410969809</v>
      </c>
      <c r="O77" s="3" t="str">
        <f t="shared" si="33"/>
        <v/>
      </c>
    </row>
    <row r="78" spans="1:15" x14ac:dyDescent="0.25">
      <c r="A78" s="6" t="s">
        <v>119</v>
      </c>
      <c r="B78" s="7">
        <v>5503996</v>
      </c>
      <c r="C78" s="7">
        <v>49026935</v>
      </c>
      <c r="D78" s="8">
        <f t="shared" ref="D78:D109" si="34">(B78/B66-1)*100</f>
        <v>11.936225590706041</v>
      </c>
      <c r="E78" s="8">
        <f t="shared" ref="E78:E109" si="35">(C78/C66-1)*100</f>
        <v>3.2303083930329546</v>
      </c>
      <c r="F78" s="3">
        <f t="shared" si="24"/>
        <v>5</v>
      </c>
      <c r="G78" s="3">
        <f t="shared" si="25"/>
        <v>1</v>
      </c>
      <c r="H78" s="3">
        <f t="shared" si="26"/>
        <v>1</v>
      </c>
      <c r="I78" s="3">
        <f t="shared" si="27"/>
        <v>0</v>
      </c>
      <c r="J78" s="3">
        <f t="shared" si="28"/>
        <v>1</v>
      </c>
      <c r="K78" s="8">
        <f t="shared" si="29"/>
        <v>0</v>
      </c>
      <c r="L78" s="8">
        <f t="shared" si="30"/>
        <v>0</v>
      </c>
      <c r="M78" s="8">
        <f t="shared" si="31"/>
        <v>3.2303083930329546</v>
      </c>
      <c r="N78" s="8">
        <f t="shared" si="32"/>
        <v>11.936225590706041</v>
      </c>
      <c r="O78" s="3" t="str">
        <f t="shared" si="33"/>
        <v/>
      </c>
    </row>
    <row r="79" spans="1:15" x14ac:dyDescent="0.25">
      <c r="A79" s="6" t="s">
        <v>120</v>
      </c>
      <c r="B79" s="7">
        <v>5570585</v>
      </c>
      <c r="C79" s="7">
        <v>49512621</v>
      </c>
      <c r="D79" s="8">
        <f t="shared" si="34"/>
        <v>15.305879340619001</v>
      </c>
      <c r="E79" s="8">
        <f t="shared" si="35"/>
        <v>5.5134677156961631</v>
      </c>
      <c r="F79" s="3">
        <f t="shared" si="24"/>
        <v>6</v>
      </c>
      <c r="G79" s="3">
        <f t="shared" si="25"/>
        <v>1</v>
      </c>
      <c r="H79" s="3">
        <f t="shared" si="26"/>
        <v>1</v>
      </c>
      <c r="I79" s="3">
        <f t="shared" si="27"/>
        <v>0</v>
      </c>
      <c r="J79" s="3">
        <f t="shared" si="28"/>
        <v>1</v>
      </c>
      <c r="K79" s="8">
        <f t="shared" si="29"/>
        <v>0</v>
      </c>
      <c r="L79" s="8">
        <f t="shared" si="30"/>
        <v>0</v>
      </c>
      <c r="M79" s="8">
        <f t="shared" si="31"/>
        <v>5.5134677156961631</v>
      </c>
      <c r="N79" s="8">
        <f t="shared" si="32"/>
        <v>15.305879340619001</v>
      </c>
      <c r="O79" s="3" t="str">
        <f t="shared" si="33"/>
        <v/>
      </c>
    </row>
    <row r="80" spans="1:15" x14ac:dyDescent="0.25">
      <c r="A80" s="6" t="s">
        <v>121</v>
      </c>
      <c r="B80" s="7">
        <v>5669331</v>
      </c>
      <c r="C80" s="7">
        <v>51542033</v>
      </c>
      <c r="D80" s="8">
        <f t="shared" si="34"/>
        <v>13.294285157596564</v>
      </c>
      <c r="E80" s="8">
        <f t="shared" si="35"/>
        <v>-0.10450625644018441</v>
      </c>
      <c r="F80" s="3">
        <f t="shared" si="24"/>
        <v>7</v>
      </c>
      <c r="G80" s="3">
        <f t="shared" si="25"/>
        <v>1</v>
      </c>
      <c r="H80" s="3">
        <f t="shared" si="26"/>
        <v>1</v>
      </c>
      <c r="I80" s="3">
        <f t="shared" si="27"/>
        <v>0</v>
      </c>
      <c r="J80" s="3">
        <f t="shared" si="28"/>
        <v>1</v>
      </c>
      <c r="K80" s="8">
        <f t="shared" si="29"/>
        <v>0</v>
      </c>
      <c r="L80" s="8">
        <f t="shared" si="30"/>
        <v>0</v>
      </c>
      <c r="M80" s="8">
        <f t="shared" si="31"/>
        <v>-0.10450625644018441</v>
      </c>
      <c r="N80" s="8">
        <f t="shared" si="32"/>
        <v>13.294285157596564</v>
      </c>
      <c r="O80" s="3" t="str">
        <f t="shared" si="33"/>
        <v/>
      </c>
    </row>
    <row r="81" spans="1:15" x14ac:dyDescent="0.25">
      <c r="A81" s="6" t="s">
        <v>122</v>
      </c>
      <c r="B81" s="7">
        <v>5934177</v>
      </c>
      <c r="C81" s="7">
        <v>56465628</v>
      </c>
      <c r="D81" s="8">
        <f t="shared" si="34"/>
        <v>18.796230103876542</v>
      </c>
      <c r="E81" s="8">
        <f t="shared" si="35"/>
        <v>6.6803003323593346</v>
      </c>
      <c r="F81" s="3">
        <f t="shared" si="24"/>
        <v>8</v>
      </c>
      <c r="G81" s="3">
        <f t="shared" si="25"/>
        <v>1</v>
      </c>
      <c r="H81" s="3">
        <f t="shared" si="26"/>
        <v>1</v>
      </c>
      <c r="I81" s="3">
        <f t="shared" si="27"/>
        <v>0</v>
      </c>
      <c r="J81" s="3">
        <f t="shared" si="28"/>
        <v>1</v>
      </c>
      <c r="K81" s="8">
        <f t="shared" si="29"/>
        <v>0</v>
      </c>
      <c r="L81" s="8">
        <f t="shared" si="30"/>
        <v>0</v>
      </c>
      <c r="M81" s="8">
        <f t="shared" si="31"/>
        <v>6.6803003323593346</v>
      </c>
      <c r="N81" s="8">
        <f t="shared" si="32"/>
        <v>18.796230103876542</v>
      </c>
      <c r="O81" s="3" t="str">
        <f t="shared" si="33"/>
        <v/>
      </c>
    </row>
    <row r="82" spans="1:15" x14ac:dyDescent="0.25">
      <c r="A82" s="6" t="s">
        <v>123</v>
      </c>
      <c r="B82" s="7">
        <v>6134114</v>
      </c>
      <c r="C82" s="7">
        <v>60561227</v>
      </c>
      <c r="D82" s="8">
        <f t="shared" si="34"/>
        <v>22.759102646436148</v>
      </c>
      <c r="E82" s="8">
        <f t="shared" si="35"/>
        <v>8.9634591354194484</v>
      </c>
      <c r="F82" s="3">
        <f t="shared" si="24"/>
        <v>9</v>
      </c>
      <c r="G82" s="3">
        <f t="shared" si="25"/>
        <v>1</v>
      </c>
      <c r="H82" s="3">
        <f t="shared" si="26"/>
        <v>1</v>
      </c>
      <c r="I82" s="3">
        <f t="shared" si="27"/>
        <v>0</v>
      </c>
      <c r="J82" s="3">
        <f t="shared" si="28"/>
        <v>1</v>
      </c>
      <c r="K82" s="8">
        <f t="shared" si="29"/>
        <v>0</v>
      </c>
      <c r="L82" s="8">
        <f t="shared" si="30"/>
        <v>0</v>
      </c>
      <c r="M82" s="8">
        <f t="shared" si="31"/>
        <v>8.9634591354194484</v>
      </c>
      <c r="N82" s="8">
        <f t="shared" si="32"/>
        <v>22.759102646436148</v>
      </c>
      <c r="O82" s="3" t="str">
        <f t="shared" si="33"/>
        <v/>
      </c>
    </row>
    <row r="83" spans="1:15" x14ac:dyDescent="0.25">
      <c r="A83" s="6" t="s">
        <v>124</v>
      </c>
      <c r="B83" s="7">
        <v>6399184</v>
      </c>
      <c r="C83" s="7">
        <v>60231106</v>
      </c>
      <c r="D83" s="8">
        <f t="shared" si="34"/>
        <v>23.976006808700578</v>
      </c>
      <c r="E83" s="8">
        <f t="shared" si="35"/>
        <v>6.7443219860041204</v>
      </c>
      <c r="F83" s="3">
        <f t="shared" si="24"/>
        <v>10</v>
      </c>
      <c r="G83" s="3">
        <f t="shared" si="25"/>
        <v>1</v>
      </c>
      <c r="H83" s="3">
        <f t="shared" si="26"/>
        <v>1</v>
      </c>
      <c r="I83" s="3">
        <f t="shared" si="27"/>
        <v>0</v>
      </c>
      <c r="J83" s="3">
        <f t="shared" si="28"/>
        <v>1</v>
      </c>
      <c r="K83" s="8">
        <f t="shared" si="29"/>
        <v>0</v>
      </c>
      <c r="L83" s="8">
        <f t="shared" si="30"/>
        <v>0</v>
      </c>
      <c r="M83" s="8">
        <f t="shared" si="31"/>
        <v>6.7443219860041204</v>
      </c>
      <c r="N83" s="8">
        <f t="shared" si="32"/>
        <v>23.976006808700578</v>
      </c>
      <c r="O83" s="3" t="str">
        <f t="shared" si="33"/>
        <v/>
      </c>
    </row>
    <row r="84" spans="1:15" x14ac:dyDescent="0.25">
      <c r="A84" s="6" t="s">
        <v>125</v>
      </c>
      <c r="B84" s="7">
        <v>6270829</v>
      </c>
      <c r="C84" s="7">
        <v>58819584</v>
      </c>
      <c r="D84" s="8">
        <f t="shared" si="34"/>
        <v>23.117194037282097</v>
      </c>
      <c r="E84" s="8">
        <f t="shared" si="35"/>
        <v>11.120121606549894</v>
      </c>
      <c r="F84" s="3">
        <f t="shared" si="24"/>
        <v>11</v>
      </c>
      <c r="G84" s="3">
        <f t="shared" si="25"/>
        <v>1</v>
      </c>
      <c r="H84" s="3">
        <f t="shared" si="26"/>
        <v>1</v>
      </c>
      <c r="I84" s="3">
        <f t="shared" si="27"/>
        <v>0</v>
      </c>
      <c r="J84" s="3">
        <f t="shared" si="28"/>
        <v>1</v>
      </c>
      <c r="K84" s="8">
        <f t="shared" si="29"/>
        <v>0</v>
      </c>
      <c r="L84" s="8">
        <f t="shared" si="30"/>
        <v>0</v>
      </c>
      <c r="M84" s="8">
        <f t="shared" si="31"/>
        <v>11.120121606549894</v>
      </c>
      <c r="N84" s="8">
        <f t="shared" si="32"/>
        <v>23.117194037282097</v>
      </c>
      <c r="O84" s="3" t="str">
        <f t="shared" si="33"/>
        <v/>
      </c>
    </row>
    <row r="85" spans="1:15" x14ac:dyDescent="0.25">
      <c r="A85" s="6" t="s">
        <v>126</v>
      </c>
      <c r="B85" s="7">
        <v>6364371</v>
      </c>
      <c r="C85" s="7">
        <v>58864547</v>
      </c>
      <c r="D85" s="8">
        <f t="shared" si="34"/>
        <v>24.354931741641316</v>
      </c>
      <c r="E85" s="8">
        <f t="shared" si="35"/>
        <v>11.26536620744738</v>
      </c>
      <c r="F85" s="3">
        <f t="shared" si="24"/>
        <v>12</v>
      </c>
      <c r="G85" s="3">
        <f t="shared" si="25"/>
        <v>1</v>
      </c>
      <c r="H85" s="3">
        <f t="shared" si="26"/>
        <v>1</v>
      </c>
      <c r="I85" s="3">
        <f t="shared" si="27"/>
        <v>0</v>
      </c>
      <c r="J85" s="3">
        <f t="shared" si="28"/>
        <v>1</v>
      </c>
      <c r="K85" s="8">
        <f t="shared" si="29"/>
        <v>0</v>
      </c>
      <c r="L85" s="8">
        <f t="shared" si="30"/>
        <v>0</v>
      </c>
      <c r="M85" s="8">
        <f t="shared" si="31"/>
        <v>11.26536620744738</v>
      </c>
      <c r="N85" s="8">
        <f t="shared" si="32"/>
        <v>24.354931741641316</v>
      </c>
      <c r="O85" s="3" t="str">
        <f t="shared" si="33"/>
        <v/>
      </c>
    </row>
    <row r="86" spans="1:15" x14ac:dyDescent="0.25">
      <c r="A86" s="6" t="s">
        <v>127</v>
      </c>
      <c r="B86" s="7">
        <v>6496844</v>
      </c>
      <c r="C86" s="7">
        <v>59988631</v>
      </c>
      <c r="D86" s="8">
        <f t="shared" si="34"/>
        <v>28.43798305020746</v>
      </c>
      <c r="E86" s="8">
        <f t="shared" si="35"/>
        <v>21.325771255838966</v>
      </c>
      <c r="F86" s="3">
        <f t="shared" si="24"/>
        <v>1</v>
      </c>
      <c r="G86" s="3">
        <f t="shared" si="25"/>
        <v>1</v>
      </c>
      <c r="H86" s="3">
        <f t="shared" si="26"/>
        <v>1</v>
      </c>
      <c r="I86" s="3">
        <f t="shared" si="27"/>
        <v>0</v>
      </c>
      <c r="J86" s="3">
        <f t="shared" si="28"/>
        <v>1</v>
      </c>
      <c r="K86" s="8">
        <f t="shared" si="29"/>
        <v>0</v>
      </c>
      <c r="L86" s="8">
        <f t="shared" si="30"/>
        <v>0</v>
      </c>
      <c r="M86" s="8">
        <f t="shared" si="31"/>
        <v>21.325771255838966</v>
      </c>
      <c r="N86" s="8">
        <f t="shared" si="32"/>
        <v>28.43798305020746</v>
      </c>
      <c r="O86" s="3" t="str">
        <f t="shared" si="33"/>
        <v/>
      </c>
    </row>
    <row r="87" spans="1:15" x14ac:dyDescent="0.25">
      <c r="A87" s="6" t="s">
        <v>128</v>
      </c>
      <c r="B87" s="7">
        <v>6094994</v>
      </c>
      <c r="C87" s="7">
        <v>52096847</v>
      </c>
      <c r="D87" s="8">
        <f t="shared" si="34"/>
        <v>26.985549676087572</v>
      </c>
      <c r="E87" s="8">
        <f t="shared" si="35"/>
        <v>15.871739169696042</v>
      </c>
      <c r="F87" s="3">
        <f t="shared" si="24"/>
        <v>2</v>
      </c>
      <c r="G87" s="3">
        <f t="shared" si="25"/>
        <v>0</v>
      </c>
      <c r="H87" s="3">
        <f t="shared" si="26"/>
        <v>1</v>
      </c>
      <c r="I87" s="3">
        <f t="shared" si="27"/>
        <v>0</v>
      </c>
      <c r="J87" s="3">
        <f t="shared" si="28"/>
        <v>0</v>
      </c>
      <c r="K87" s="8">
        <f t="shared" si="29"/>
        <v>0</v>
      </c>
      <c r="L87" s="8">
        <f t="shared" si="30"/>
        <v>0</v>
      </c>
      <c r="M87" s="8">
        <f t="shared" si="31"/>
        <v>0</v>
      </c>
      <c r="N87" s="8">
        <f t="shared" si="32"/>
        <v>0</v>
      </c>
      <c r="O87" s="3" t="str">
        <f t="shared" si="33"/>
        <v>Lunar New Year moves between Feb and Mar, so the y/y comparison is unreliable</v>
      </c>
    </row>
    <row r="88" spans="1:15" x14ac:dyDescent="0.25">
      <c r="A88" s="6" t="s">
        <v>129</v>
      </c>
      <c r="B88" s="7">
        <v>6877283</v>
      </c>
      <c r="C88" s="7">
        <v>61576674</v>
      </c>
      <c r="D88" s="8">
        <f t="shared" si="34"/>
        <v>28.429166955341834</v>
      </c>
      <c r="E88" s="8">
        <f t="shared" si="35"/>
        <v>14.565062842182307</v>
      </c>
      <c r="F88" s="3">
        <f t="shared" si="24"/>
        <v>3</v>
      </c>
      <c r="G88" s="3">
        <f t="shared" si="25"/>
        <v>0</v>
      </c>
      <c r="H88" s="3">
        <f t="shared" si="26"/>
        <v>1</v>
      </c>
      <c r="I88" s="3">
        <f t="shared" si="27"/>
        <v>0</v>
      </c>
      <c r="J88" s="3">
        <f t="shared" si="28"/>
        <v>0</v>
      </c>
      <c r="K88" s="8">
        <f t="shared" si="29"/>
        <v>0</v>
      </c>
      <c r="L88" s="8">
        <f t="shared" si="30"/>
        <v>0</v>
      </c>
      <c r="M88" s="8">
        <f t="shared" si="31"/>
        <v>0</v>
      </c>
      <c r="N88" s="8">
        <f t="shared" si="32"/>
        <v>0</v>
      </c>
      <c r="O88" s="3" t="str">
        <f t="shared" si="33"/>
        <v>Lunar New Year moves between Feb and Mar, so the y/y comparison is unreliable</v>
      </c>
    </row>
    <row r="89" spans="1:15" x14ac:dyDescent="0.25">
      <c r="A89" s="6" t="s">
        <v>130</v>
      </c>
      <c r="B89" s="7">
        <v>7152561</v>
      </c>
      <c r="C89" s="7">
        <v>62247107</v>
      </c>
      <c r="D89" s="8">
        <f t="shared" si="34"/>
        <v>30.293220547698652</v>
      </c>
      <c r="E89" s="8">
        <f t="shared" si="35"/>
        <v>19.222740014526131</v>
      </c>
      <c r="F89" s="3">
        <f t="shared" si="24"/>
        <v>4</v>
      </c>
      <c r="G89" s="3">
        <f t="shared" si="25"/>
        <v>1</v>
      </c>
      <c r="H89" s="3">
        <f t="shared" si="26"/>
        <v>1</v>
      </c>
      <c r="I89" s="3">
        <f t="shared" si="27"/>
        <v>0</v>
      </c>
      <c r="J89" s="3">
        <f t="shared" si="28"/>
        <v>1</v>
      </c>
      <c r="K89" s="8">
        <f t="shared" si="29"/>
        <v>0</v>
      </c>
      <c r="L89" s="8">
        <f t="shared" si="30"/>
        <v>0</v>
      </c>
      <c r="M89" s="8">
        <f t="shared" si="31"/>
        <v>19.222740014526131</v>
      </c>
      <c r="N89" s="8">
        <f t="shared" si="32"/>
        <v>30.293220547698652</v>
      </c>
      <c r="O89" s="3" t="str">
        <f t="shared" si="33"/>
        <v/>
      </c>
    </row>
    <row r="90" spans="1:15" x14ac:dyDescent="0.25">
      <c r="A90" s="6" t="s">
        <v>131</v>
      </c>
      <c r="B90" s="7">
        <v>7271219</v>
      </c>
      <c r="C90" s="7">
        <v>63033313</v>
      </c>
      <c r="D90" s="8">
        <f t="shared" si="34"/>
        <v>32.107999351743707</v>
      </c>
      <c r="E90" s="8">
        <f t="shared" si="35"/>
        <v>28.568740836032269</v>
      </c>
      <c r="F90" s="3">
        <f t="shared" si="24"/>
        <v>5</v>
      </c>
      <c r="G90" s="3">
        <f t="shared" si="25"/>
        <v>1</v>
      </c>
      <c r="H90" s="3">
        <f t="shared" si="26"/>
        <v>1</v>
      </c>
      <c r="I90" s="3">
        <f t="shared" si="27"/>
        <v>0</v>
      </c>
      <c r="J90" s="3">
        <f t="shared" si="28"/>
        <v>1</v>
      </c>
      <c r="K90" s="8">
        <f t="shared" si="29"/>
        <v>0</v>
      </c>
      <c r="L90" s="8">
        <f t="shared" si="30"/>
        <v>0</v>
      </c>
      <c r="M90" s="8">
        <f t="shared" si="31"/>
        <v>28.568740836032269</v>
      </c>
      <c r="N90" s="8">
        <f t="shared" si="32"/>
        <v>32.107999351743707</v>
      </c>
      <c r="O90" s="3" t="str">
        <f t="shared" si="33"/>
        <v/>
      </c>
    </row>
    <row r="91" spans="1:15" x14ac:dyDescent="0.25">
      <c r="A91" s="6" t="s">
        <v>132</v>
      </c>
      <c r="B91" s="7">
        <v>7132200</v>
      </c>
      <c r="C91" s="7">
        <v>65783102</v>
      </c>
      <c r="D91" s="8">
        <f t="shared" si="34"/>
        <v>28.03323169828662</v>
      </c>
      <c r="E91" s="8">
        <f t="shared" si="35"/>
        <v>32.861279955266355</v>
      </c>
      <c r="F91" s="3">
        <f t="shared" si="24"/>
        <v>6</v>
      </c>
      <c r="G91" s="3">
        <f t="shared" si="25"/>
        <v>1</v>
      </c>
      <c r="H91" s="3">
        <f t="shared" si="26"/>
        <v>1</v>
      </c>
      <c r="I91" s="3">
        <f t="shared" si="27"/>
        <v>0</v>
      </c>
      <c r="J91" s="3">
        <f t="shared" si="28"/>
        <v>1</v>
      </c>
      <c r="K91" s="8">
        <f t="shared" si="29"/>
        <v>0</v>
      </c>
      <c r="L91" s="8">
        <f t="shared" si="30"/>
        <v>0</v>
      </c>
      <c r="M91" s="8">
        <f t="shared" si="31"/>
        <v>32.861279955266355</v>
      </c>
      <c r="N91" s="8">
        <f t="shared" si="32"/>
        <v>28.03323169828662</v>
      </c>
      <c r="O91" s="3" t="str">
        <f t="shared" si="33"/>
        <v/>
      </c>
    </row>
    <row r="93" spans="1:15" x14ac:dyDescent="0.25">
      <c r="A93" s="9" t="s">
        <v>133</v>
      </c>
    </row>
    <row r="94" spans="1:15" x14ac:dyDescent="0.25">
      <c r="A94" s="9" t="s">
        <v>134</v>
      </c>
    </row>
    <row r="95" spans="1:15" x14ac:dyDescent="0.25">
      <c r="A95" s="9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showGridLines="0" tabSelected="1" topLeftCell="A18" zoomScaleNormal="100" workbookViewId="0">
      <selection activeCell="B13" sqref="B13"/>
    </sheetView>
  </sheetViews>
  <sheetFormatPr defaultColWidth="8.7109375" defaultRowHeight="15" x14ac:dyDescent="0.25"/>
  <cols>
    <col min="1" max="1" width="44" customWidth="1"/>
    <col min="2" max="4" width="15" customWidth="1"/>
    <col min="5" max="5" width="52" customWidth="1"/>
  </cols>
  <sheetData>
    <row r="1" spans="1:5" ht="16.5" x14ac:dyDescent="0.25">
      <c r="A1" s="10" t="s">
        <v>136</v>
      </c>
    </row>
    <row r="2" spans="1:5" x14ac:dyDescent="0.25">
      <c r="A2" s="9" t="s">
        <v>137</v>
      </c>
    </row>
    <row r="4" spans="1:5" ht="27.75" customHeight="1" x14ac:dyDescent="0.25">
      <c r="A4" s="11" t="s">
        <v>138</v>
      </c>
      <c r="B4" s="12" t="s">
        <v>139</v>
      </c>
      <c r="C4" s="12" t="s">
        <v>140</v>
      </c>
      <c r="D4" s="13"/>
    </row>
    <row r="5" spans="1:5" x14ac:dyDescent="0.25">
      <c r="A5" s="14" t="s">
        <v>141</v>
      </c>
      <c r="B5" s="15">
        <f>SUMPRODUCT(Data!$I$2:$I$91)</f>
        <v>50</v>
      </c>
      <c r="C5" s="15">
        <f>SUMPRODUCT(Data!$J$2:$J$91)</f>
        <v>14</v>
      </c>
      <c r="E5" s="9" t="s">
        <v>142</v>
      </c>
    </row>
    <row r="6" spans="1:5" x14ac:dyDescent="0.25">
      <c r="A6" s="14" t="s">
        <v>143</v>
      </c>
      <c r="B6" s="16">
        <f>SUMPRODUCT(Data!$I$2:$I$91,Data!$K$2:$K$91)</f>
        <v>428.11215681179431</v>
      </c>
      <c r="C6" s="16">
        <f>SUMPRODUCT(Data!$J$2:$J$91,Data!$M$2:$M$91)</f>
        <v>173.67322041470723</v>
      </c>
    </row>
    <row r="7" spans="1:5" x14ac:dyDescent="0.25">
      <c r="A7" s="14" t="s">
        <v>144</v>
      </c>
      <c r="B7" s="16">
        <f>SUMPRODUCT(Data!$I$2:$I$91,Data!$L$2:$L$91)</f>
        <v>355.62892183980506</v>
      </c>
      <c r="C7" s="16">
        <f>SUMPRODUCT(Data!$J$2:$J$91,Data!$N$2:$N$91)</f>
        <v>286.51668366619043</v>
      </c>
    </row>
    <row r="8" spans="1:5" x14ac:dyDescent="0.25">
      <c r="A8" s="14" t="s">
        <v>145</v>
      </c>
      <c r="B8" s="16">
        <f>SUMPRODUCT(Data!$I$2:$I$91,Data!$K$2:$K$91,Data!$K$2:$K$91)</f>
        <v>15094.068077063897</v>
      </c>
      <c r="C8" s="16">
        <f>SUMPRODUCT(Data!$J$2:$J$91,Data!$M$2:$M$91,Data!$M$2:$M$91)</f>
        <v>3395.5302250177601</v>
      </c>
    </row>
    <row r="9" spans="1:5" x14ac:dyDescent="0.25">
      <c r="A9" s="14" t="s">
        <v>146</v>
      </c>
      <c r="B9" s="16">
        <f>SUMPRODUCT(Data!$I$2:$I$91,Data!$K$2:$K$91,Data!$L$2:$L$91)</f>
        <v>11306.057305371945</v>
      </c>
      <c r="C9" s="16">
        <f>SUMPRODUCT(Data!$J$2:$J$91,Data!$M$2:$M$91,Data!$N$2:$N$91)</f>
        <v>4406.0613829457152</v>
      </c>
    </row>
    <row r="10" spans="1:5" x14ac:dyDescent="0.25">
      <c r="A10" s="14" t="s">
        <v>147</v>
      </c>
      <c r="B10" s="16">
        <f>SUMPRODUCT(Data!$I$2:$I$91,Data!$L$2:$L$91,Data!$L$2:$L$91)</f>
        <v>14626.206407582074</v>
      </c>
      <c r="C10" s="16">
        <f>SUMPRODUCT(Data!$J$2:$J$91,Data!$N$2:$N$91,Data!$N$2:$N$91)</f>
        <v>7011.1462894749784</v>
      </c>
    </row>
    <row r="12" spans="1:5" x14ac:dyDescent="0.25">
      <c r="A12" s="11" t="s">
        <v>148</v>
      </c>
      <c r="B12" s="13"/>
      <c r="C12" s="13"/>
      <c r="D12" s="13"/>
    </row>
    <row r="13" spans="1:5" x14ac:dyDescent="0.25">
      <c r="A13" s="14" t="s">
        <v>149</v>
      </c>
      <c r="B13" s="16">
        <f>B8-B6^2/B5</f>
        <v>11428.46770086297</v>
      </c>
      <c r="C13" s="16">
        <f>C8-C6^2/C5</f>
        <v>1241.0739757880829</v>
      </c>
    </row>
    <row r="14" spans="1:5" x14ac:dyDescent="0.25">
      <c r="A14" s="14" t="s">
        <v>150</v>
      </c>
      <c r="B14" s="16">
        <f>B10-B7^2/B5</f>
        <v>12096.767806603231</v>
      </c>
      <c r="C14" s="16">
        <f>C10-C7^2/C5</f>
        <v>1147.4455738269899</v>
      </c>
    </row>
    <row r="15" spans="1:5" x14ac:dyDescent="0.25">
      <c r="A15" s="14" t="s">
        <v>151</v>
      </c>
      <c r="B15" s="16">
        <f>B9-B6*B7/B5</f>
        <v>8261.0760103021057</v>
      </c>
      <c r="C15" s="16">
        <f>C9-C6*C7/C5</f>
        <v>851.7560147421982</v>
      </c>
    </row>
    <row r="16" spans="1:5" x14ac:dyDescent="0.25">
      <c r="A16" s="14" t="s">
        <v>152</v>
      </c>
      <c r="B16" s="17">
        <f>B6/B5</f>
        <v>8.5622431362358853</v>
      </c>
      <c r="C16" s="17">
        <f>C6/C5</f>
        <v>12.405230029621945</v>
      </c>
    </row>
    <row r="17" spans="1:5" x14ac:dyDescent="0.25">
      <c r="A17" s="14" t="s">
        <v>153</v>
      </c>
      <c r="B17" s="17">
        <f>B7/B5</f>
        <v>7.1125784367961016</v>
      </c>
      <c r="C17" s="17">
        <f>C7/C5</f>
        <v>20.465477404727888</v>
      </c>
    </row>
    <row r="19" spans="1:5" x14ac:dyDescent="0.25">
      <c r="A19" s="11" t="s">
        <v>154</v>
      </c>
      <c r="B19" s="13"/>
      <c r="C19" s="13"/>
      <c r="D19" s="13"/>
    </row>
    <row r="20" spans="1:5" x14ac:dyDescent="0.25">
      <c r="A20" s="18" t="s">
        <v>155</v>
      </c>
      <c r="B20" s="19">
        <f>B15/B13</f>
        <v>0.7228507116206232</v>
      </c>
      <c r="C20" s="19">
        <f>C15/C13</f>
        <v>0.68630559608772113</v>
      </c>
      <c r="E20" s="9" t="s">
        <v>156</v>
      </c>
    </row>
    <row r="21" spans="1:5" x14ac:dyDescent="0.25">
      <c r="A21" s="18" t="s">
        <v>157</v>
      </c>
      <c r="B21" s="19">
        <f>B17-B20*B16</f>
        <v>0.92335489269919524</v>
      </c>
      <c r="C21" s="19">
        <f>C17-C20*C16</f>
        <v>11.951698614642901</v>
      </c>
      <c r="E21" s="9" t="s">
        <v>158</v>
      </c>
    </row>
    <row r="22" spans="1:5" x14ac:dyDescent="0.25">
      <c r="A22" s="14" t="s">
        <v>159</v>
      </c>
      <c r="B22" s="17">
        <f>B15^2/(B13*B14)</f>
        <v>0.49364630025710476</v>
      </c>
      <c r="C22" s="17">
        <f>C15^2/(C13*C14)</f>
        <v>0.50944892965100752</v>
      </c>
    </row>
    <row r="23" spans="1:5" x14ac:dyDescent="0.25">
      <c r="A23" s="14" t="s">
        <v>160</v>
      </c>
      <c r="B23" s="16">
        <f>B14-B20*B15</f>
        <v>6125.2431338042952</v>
      </c>
      <c r="C23" s="16">
        <f>C14-C20*C15</f>
        <v>562.88065440804371</v>
      </c>
      <c r="E23" s="9" t="s">
        <v>161</v>
      </c>
    </row>
    <row r="25" spans="1:5" x14ac:dyDescent="0.25">
      <c r="A25" s="11" t="s">
        <v>162</v>
      </c>
      <c r="B25" s="13"/>
      <c r="C25" s="13"/>
      <c r="D25" s="13"/>
    </row>
    <row r="26" spans="1:5" x14ac:dyDescent="0.25">
      <c r="A26" s="14" t="s">
        <v>163</v>
      </c>
      <c r="B26" s="15">
        <f>B5+C5-4</f>
        <v>60</v>
      </c>
      <c r="C26" s="20"/>
    </row>
    <row r="27" spans="1:5" x14ac:dyDescent="0.25">
      <c r="A27" s="14" t="s">
        <v>164</v>
      </c>
      <c r="B27" s="21">
        <f>(B23+C23)/B26</f>
        <v>111.46872980353898</v>
      </c>
      <c r="C27" s="20"/>
    </row>
    <row r="28" spans="1:5" x14ac:dyDescent="0.25">
      <c r="A28" s="14" t="s">
        <v>165</v>
      </c>
      <c r="B28" s="17">
        <f>SQRT(B27*((1/B5+B16^2/B13)+(1/C5+C16^2/C13)))</f>
        <v>4.9727554074058569</v>
      </c>
      <c r="C28" s="20"/>
    </row>
    <row r="29" spans="1:5" x14ac:dyDescent="0.25">
      <c r="A29" s="18" t="s">
        <v>166</v>
      </c>
      <c r="B29" s="19">
        <f>C21-B21</f>
        <v>11.028343721943706</v>
      </c>
      <c r="C29" s="20"/>
      <c r="E29" s="9" t="s">
        <v>167</v>
      </c>
    </row>
    <row r="30" spans="1:5" x14ac:dyDescent="0.25">
      <c r="A30" s="18" t="s">
        <v>168</v>
      </c>
      <c r="B30" s="22">
        <f>B29/B28</f>
        <v>2.2177531003273043</v>
      </c>
      <c r="C30" s="20"/>
    </row>
    <row r="31" spans="1:5" x14ac:dyDescent="0.25">
      <c r="A31" s="18" t="s">
        <v>169</v>
      </c>
      <c r="B31" s="19">
        <f>TDIST(ABS(B30),B26,2)</f>
        <v>3.0369575390121219E-2</v>
      </c>
      <c r="C31" s="20"/>
      <c r="E31" s="9" t="s">
        <v>170</v>
      </c>
    </row>
    <row r="33" spans="1:5" x14ac:dyDescent="0.25">
      <c r="A33" s="14" t="s">
        <v>171</v>
      </c>
      <c r="B33" s="17">
        <f>C20-B20</f>
        <v>-3.6545115532902073E-2</v>
      </c>
      <c r="C33" s="20"/>
    </row>
    <row r="34" spans="1:5" x14ac:dyDescent="0.25">
      <c r="A34" s="14" t="s">
        <v>172</v>
      </c>
      <c r="B34" s="17">
        <f>SQRT(B27*(1/B13+1/C13))</f>
        <v>0.31554706230656931</v>
      </c>
      <c r="C34" s="20"/>
    </row>
    <row r="35" spans="1:5" x14ac:dyDescent="0.25">
      <c r="A35" s="14" t="s">
        <v>168</v>
      </c>
      <c r="B35" s="23">
        <f>B33/B34</f>
        <v>-0.11581510303333681</v>
      </c>
      <c r="C35" s="20"/>
    </row>
    <row r="36" spans="1:5" x14ac:dyDescent="0.25">
      <c r="A36" s="14" t="s">
        <v>169</v>
      </c>
      <c r="B36" s="17">
        <f>TDIST(ABS(B35),B26,2)</f>
        <v>0.90818583494145377</v>
      </c>
      <c r="C36" s="20"/>
      <c r="E36" s="9" t="s">
        <v>173</v>
      </c>
    </row>
    <row r="38" spans="1:5" x14ac:dyDescent="0.25">
      <c r="A38" s="9" t="s">
        <v>174</v>
      </c>
    </row>
    <row r="39" spans="1:5" x14ac:dyDescent="0.25">
      <c r="A39" s="9" t="s">
        <v>175</v>
      </c>
    </row>
    <row r="40" spans="1:5" x14ac:dyDescent="0.25">
      <c r="A40" s="9" t="s">
        <v>176</v>
      </c>
    </row>
    <row r="41" spans="1:5" x14ac:dyDescent="0.25">
      <c r="A41" s="9" t="s">
        <v>177</v>
      </c>
    </row>
    <row r="42" spans="1:5" x14ac:dyDescent="0.25">
      <c r="A42" s="9" t="s">
        <v>178</v>
      </c>
    </row>
    <row r="43" spans="1:5" x14ac:dyDescent="0.25">
      <c r="A43" s="9"/>
    </row>
    <row r="44" spans="1:5" x14ac:dyDescent="0.25">
      <c r="A44" s="9" t="s">
        <v>179</v>
      </c>
    </row>
    <row r="45" spans="1:5" x14ac:dyDescent="0.25">
      <c r="A45" s="9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showGridLines="0" zoomScale="85" zoomScaleNormal="85" workbookViewId="0">
      <selection activeCell="D32" sqref="D32"/>
    </sheetView>
  </sheetViews>
  <sheetFormatPr defaultColWidth="8.7109375" defaultRowHeight="15" x14ac:dyDescent="0.25"/>
  <cols>
    <col min="1" max="2" width="21" customWidth="1"/>
    <col min="4" max="5" width="21" customWidth="1"/>
  </cols>
  <sheetData>
    <row r="1" spans="1:5" ht="16.5" x14ac:dyDescent="0.25">
      <c r="A1" s="10" t="s">
        <v>181</v>
      </c>
    </row>
    <row r="2" spans="1:5" x14ac:dyDescent="0.25">
      <c r="A2" s="9" t="s">
        <v>182</v>
      </c>
    </row>
    <row r="4" spans="1:5" x14ac:dyDescent="0.25">
      <c r="A4" s="11" t="s">
        <v>183</v>
      </c>
      <c r="B4" s="13"/>
      <c r="D4" s="11" t="s">
        <v>184</v>
      </c>
      <c r="E4" s="13"/>
    </row>
    <row r="5" spans="1:5" x14ac:dyDescent="0.25">
      <c r="A5" s="24" t="s">
        <v>185</v>
      </c>
      <c r="B5" s="24" t="s">
        <v>186</v>
      </c>
      <c r="D5" s="24" t="s">
        <v>185</v>
      </c>
      <c r="E5" s="24" t="s">
        <v>186</v>
      </c>
    </row>
    <row r="6" spans="1:5" x14ac:dyDescent="0.25">
      <c r="A6" s="25">
        <f>Data!E14</f>
        <v>-5.1982387463757052</v>
      </c>
      <c r="B6" s="25">
        <f>Data!D14</f>
        <v>24.926831243824399</v>
      </c>
      <c r="D6" s="25">
        <f>Data!E74</f>
        <v>4.3340191128346417</v>
      </c>
      <c r="E6" s="25">
        <f>Data!D74</f>
        <v>-3.932401819574094</v>
      </c>
    </row>
    <row r="7" spans="1:5" x14ac:dyDescent="0.25">
      <c r="A7" s="25">
        <f>Data!E17</f>
        <v>21.519690023194691</v>
      </c>
      <c r="B7" s="25">
        <f>Data!D17</f>
        <v>32.941213357493403</v>
      </c>
      <c r="D7" s="25">
        <f>Data!E77</f>
        <v>13.947830120139759</v>
      </c>
      <c r="E7" s="25">
        <f>Data!D77</f>
        <v>18.036795410969809</v>
      </c>
    </row>
    <row r="8" spans="1:5" x14ac:dyDescent="0.25">
      <c r="A8" s="25">
        <f>Data!E18</f>
        <v>18.825445631101445</v>
      </c>
      <c r="B8" s="25">
        <f>Data!D18</f>
        <v>23.533824814084436</v>
      </c>
      <c r="D8" s="25">
        <f>Data!E78</f>
        <v>3.2303083930329546</v>
      </c>
      <c r="E8" s="25">
        <f>Data!D78</f>
        <v>11.936225590706041</v>
      </c>
    </row>
    <row r="9" spans="1:5" x14ac:dyDescent="0.25">
      <c r="A9" s="25">
        <f>Data!E19</f>
        <v>15.476728939648886</v>
      </c>
      <c r="B9" s="25">
        <f>Data!D19</f>
        <v>18.60632916968472</v>
      </c>
      <c r="D9" s="25">
        <f>Data!E79</f>
        <v>5.5134677156961631</v>
      </c>
      <c r="E9" s="25">
        <f>Data!D79</f>
        <v>15.305879340619001</v>
      </c>
    </row>
    <row r="10" spans="1:5" x14ac:dyDescent="0.25">
      <c r="A10" s="25">
        <f>Data!E20</f>
        <v>2.6092443124319464</v>
      </c>
      <c r="B10" s="25">
        <f>Data!D20</f>
        <v>10.703555644636232</v>
      </c>
      <c r="D10" s="25">
        <f>Data!E80</f>
        <v>-0.10450625644018441</v>
      </c>
      <c r="E10" s="25">
        <f>Data!D80</f>
        <v>13.294285157596564</v>
      </c>
    </row>
    <row r="11" spans="1:5" x14ac:dyDescent="0.25">
      <c r="A11" s="25">
        <f>Data!E21</f>
        <v>4.7581549681975366</v>
      </c>
      <c r="B11" s="25">
        <f>Data!D21</f>
        <v>11.946074954850783</v>
      </c>
      <c r="D11" s="25">
        <f>Data!E81</f>
        <v>6.6803003323593346</v>
      </c>
      <c r="E11" s="25">
        <f>Data!D81</f>
        <v>18.796230103876542</v>
      </c>
    </row>
    <row r="12" spans="1:5" x14ac:dyDescent="0.25">
      <c r="A12" s="25">
        <f>Data!E22</f>
        <v>6.766392354426598</v>
      </c>
      <c r="B12" s="25">
        <f>Data!D22</f>
        <v>14.648560881302441</v>
      </c>
      <c r="D12" s="25">
        <f>Data!E82</f>
        <v>8.9634591354194484</v>
      </c>
      <c r="E12" s="25">
        <f>Data!D82</f>
        <v>22.759102646436148</v>
      </c>
    </row>
    <row r="13" spans="1:5" x14ac:dyDescent="0.25">
      <c r="A13" s="25">
        <f>Data!E23</f>
        <v>23.540260222979327</v>
      </c>
      <c r="B13" s="25">
        <f>Data!D23</f>
        <v>-5.9733682948316495</v>
      </c>
      <c r="D13" s="25">
        <f>Data!E83</f>
        <v>6.7443219860041204</v>
      </c>
      <c r="E13" s="25">
        <f>Data!D83</f>
        <v>23.976006808700578</v>
      </c>
    </row>
    <row r="14" spans="1:5" x14ac:dyDescent="0.25">
      <c r="A14" s="25">
        <f>Data!E24</f>
        <v>31.745734769562063</v>
      </c>
      <c r="B14" s="25">
        <f>Data!D24</f>
        <v>12.149936029305874</v>
      </c>
      <c r="D14" s="25">
        <f>Data!E84</f>
        <v>11.120121606549894</v>
      </c>
      <c r="E14" s="25">
        <f>Data!D84</f>
        <v>23.117194037282097</v>
      </c>
    </row>
    <row r="15" spans="1:5" x14ac:dyDescent="0.25">
      <c r="A15" s="25">
        <f>Data!E25</f>
        <v>29.696100008730951</v>
      </c>
      <c r="B15" s="25">
        <f>Data!D25</f>
        <v>11.665446254292643</v>
      </c>
      <c r="D15" s="25">
        <f>Data!E85</f>
        <v>11.26536620744738</v>
      </c>
      <c r="E15" s="25">
        <f>Data!D85</f>
        <v>24.354931741641316</v>
      </c>
    </row>
    <row r="16" spans="1:5" x14ac:dyDescent="0.25">
      <c r="A16" s="25">
        <f>Data!E26</f>
        <v>30.348536599414345</v>
      </c>
      <c r="B16" s="25">
        <f>Data!D26</f>
        <v>23.262727767258863</v>
      </c>
      <c r="D16" s="25">
        <f>Data!E86</f>
        <v>21.325771255838966</v>
      </c>
      <c r="E16" s="25">
        <f>Data!D86</f>
        <v>28.43798305020746</v>
      </c>
    </row>
    <row r="17" spans="1:5" x14ac:dyDescent="0.25">
      <c r="A17" s="25">
        <f>Data!E29</f>
        <v>17.081147403741781</v>
      </c>
      <c r="B17" s="25">
        <f>Data!D29</f>
        <v>17.906462365023934</v>
      </c>
      <c r="D17" s="25">
        <f>Data!E89</f>
        <v>19.222740014526131</v>
      </c>
      <c r="E17" s="25">
        <f>Data!D89</f>
        <v>30.293220547698652</v>
      </c>
    </row>
    <row r="18" spans="1:5" x14ac:dyDescent="0.25">
      <c r="A18" s="25">
        <f>Data!E30</f>
        <v>18.103875094895638</v>
      </c>
      <c r="B18" s="25">
        <f>Data!D30</f>
        <v>21.391156913082842</v>
      </c>
      <c r="D18" s="25">
        <f>Data!E90</f>
        <v>28.568740836032269</v>
      </c>
      <c r="E18" s="25">
        <f>Data!D90</f>
        <v>32.107999351743707</v>
      </c>
    </row>
    <row r="19" spans="1:5" x14ac:dyDescent="0.25">
      <c r="A19" s="25">
        <f>Data!E31</f>
        <v>18.839346271550038</v>
      </c>
      <c r="B19" s="25">
        <f>Data!D31</f>
        <v>3.7013042879353142</v>
      </c>
      <c r="D19" s="25">
        <f>Data!E91</f>
        <v>32.861279955266355</v>
      </c>
      <c r="E19" s="25">
        <f>Data!D91</f>
        <v>28.03323169828662</v>
      </c>
    </row>
    <row r="20" spans="1:5" x14ac:dyDescent="0.25">
      <c r="A20" s="25">
        <f>Data!E32</f>
        <v>24.52524686605706</v>
      </c>
      <c r="B20" s="25">
        <f>Data!D32</f>
        <v>29.608358735155036</v>
      </c>
    </row>
    <row r="21" spans="1:5" x14ac:dyDescent="0.25">
      <c r="A21" s="25">
        <f>Data!E33</f>
        <v>20.278354927565935</v>
      </c>
      <c r="B21" s="25">
        <f>Data!D33</f>
        <v>29.104229447019691</v>
      </c>
    </row>
    <row r="22" spans="1:5" x14ac:dyDescent="0.25">
      <c r="A22" s="25">
        <f>Data!E34</f>
        <v>22.332373258618166</v>
      </c>
      <c r="B22" s="25">
        <f>Data!D34</f>
        <v>27.178285964093508</v>
      </c>
    </row>
    <row r="23" spans="1:5" x14ac:dyDescent="0.25">
      <c r="A23" s="25">
        <f>Data!E35</f>
        <v>10.088322601456401</v>
      </c>
      <c r="B23" s="25">
        <f>Data!D35</f>
        <v>29.894312612559503</v>
      </c>
    </row>
    <row r="24" spans="1:5" x14ac:dyDescent="0.25">
      <c r="A24" s="25">
        <f>Data!E36</f>
        <v>19.457904528165983</v>
      </c>
      <c r="B24" s="25">
        <f>Data!D36</f>
        <v>26.128231011413284</v>
      </c>
    </row>
    <row r="25" spans="1:5" x14ac:dyDescent="0.25">
      <c r="A25" s="25">
        <f>Data!E37</f>
        <v>18.622445830007916</v>
      </c>
      <c r="B25" s="25">
        <f>Data!D37</f>
        <v>28.368379367987107</v>
      </c>
    </row>
    <row r="26" spans="1:5" x14ac:dyDescent="0.25">
      <c r="A26" s="25">
        <f>Data!E38</f>
        <v>18.914143326878332</v>
      </c>
      <c r="B26" s="25">
        <f>Data!D38</f>
        <v>19.199788576276756</v>
      </c>
    </row>
    <row r="27" spans="1:5" x14ac:dyDescent="0.25">
      <c r="A27" s="25">
        <f>Data!E41</f>
        <v>17.683368257025922</v>
      </c>
      <c r="B27" s="25">
        <f>Data!D41</f>
        <v>21.769559362892398</v>
      </c>
    </row>
    <row r="28" spans="1:5" x14ac:dyDescent="0.25">
      <c r="A28" s="25">
        <f>Data!E42</f>
        <v>27.282858103822605</v>
      </c>
      <c r="B28" s="25">
        <f>Data!D42</f>
        <v>20.2148776811772</v>
      </c>
    </row>
    <row r="29" spans="1:5" x14ac:dyDescent="0.25">
      <c r="A29" s="25">
        <f>Data!E43</f>
        <v>33.864000737480659</v>
      </c>
      <c r="B29" s="25">
        <f>Data!D43</f>
        <v>41.744227691666012</v>
      </c>
    </row>
    <row r="30" spans="1:5" x14ac:dyDescent="0.25">
      <c r="A30" s="25">
        <f>Data!E44</f>
        <v>25.145246279255474</v>
      </c>
      <c r="B30" s="25">
        <f>Data!D44</f>
        <v>10.247558833835079</v>
      </c>
    </row>
    <row r="31" spans="1:5" x14ac:dyDescent="0.25">
      <c r="A31" s="25">
        <f>Data!E45</f>
        <v>26.476163499784832</v>
      </c>
      <c r="B31" s="25">
        <f>Data!D45</f>
        <v>0.29026655434567505</v>
      </c>
    </row>
    <row r="32" spans="1:5" x14ac:dyDescent="0.25">
      <c r="A32" s="25">
        <f>Data!E46</f>
        <v>24.036587791923438</v>
      </c>
      <c r="B32" s="25">
        <f>Data!D46</f>
        <v>4.1542431351446085</v>
      </c>
    </row>
    <row r="33" spans="1:2" x14ac:dyDescent="0.25">
      <c r="A33" s="25">
        <f>Data!E47</f>
        <v>21.655853406456128</v>
      </c>
      <c r="B33" s="25">
        <f>Data!D47</f>
        <v>3.484861340849843</v>
      </c>
    </row>
    <row r="34" spans="1:2" x14ac:dyDescent="0.25">
      <c r="A34" s="25">
        <f>Data!E48</f>
        <v>-0.68734324009737113</v>
      </c>
      <c r="B34" s="25">
        <f>Data!D48</f>
        <v>-0.44622527534883272</v>
      </c>
    </row>
    <row r="35" spans="1:2" x14ac:dyDescent="0.25">
      <c r="A35" s="25">
        <f>Data!E49</f>
        <v>-10.937835152844022</v>
      </c>
      <c r="B35" s="25">
        <f>Data!D49</f>
        <v>-5.6240765865563365</v>
      </c>
    </row>
    <row r="36" spans="1:2" x14ac:dyDescent="0.25">
      <c r="A36" s="25">
        <f>Data!E50</f>
        <v>-7.0873157579720676</v>
      </c>
      <c r="B36" s="25">
        <f>Data!D50</f>
        <v>-12.251946792107072</v>
      </c>
    </row>
    <row r="37" spans="1:2" x14ac:dyDescent="0.25">
      <c r="A37" s="25">
        <f>Data!E53</f>
        <v>-10.952657850593706</v>
      </c>
      <c r="B37" s="25">
        <f>Data!D53</f>
        <v>-20.641549474681298</v>
      </c>
    </row>
    <row r="38" spans="1:2" x14ac:dyDescent="0.25">
      <c r="A38" s="25">
        <f>Data!E54</f>
        <v>-14.052160698557103</v>
      </c>
      <c r="B38" s="25">
        <f>Data!D54</f>
        <v>-18.295790998580696</v>
      </c>
    </row>
    <row r="39" spans="1:2" x14ac:dyDescent="0.25">
      <c r="A39" s="25">
        <f>Data!E55</f>
        <v>-19.442365005861696</v>
      </c>
      <c r="B39" s="25">
        <f>Data!D55</f>
        <v>-15.484618976645404</v>
      </c>
    </row>
    <row r="40" spans="1:2" x14ac:dyDescent="0.25">
      <c r="A40" s="25">
        <f>Data!E56</f>
        <v>-16.871682027152634</v>
      </c>
      <c r="B40" s="25">
        <f>Data!D56</f>
        <v>-12.213113304598899</v>
      </c>
    </row>
    <row r="41" spans="1:2" x14ac:dyDescent="0.25">
      <c r="A41" s="25">
        <f>Data!E57</f>
        <v>-18.067144887801522</v>
      </c>
      <c r="B41" s="25">
        <f>Data!D57</f>
        <v>-4.0529726788762988</v>
      </c>
    </row>
    <row r="42" spans="1:2" x14ac:dyDescent="0.25">
      <c r="A42" s="25">
        <f>Data!E58</f>
        <v>-19.67974827419291</v>
      </c>
      <c r="B42" s="25">
        <f>Data!D58</f>
        <v>-5.2277587909218992</v>
      </c>
    </row>
    <row r="43" spans="1:2" x14ac:dyDescent="0.25">
      <c r="A43" s="25">
        <f>Data!E59</f>
        <v>-12.474153034295199</v>
      </c>
      <c r="B43" s="25">
        <f>Data!D59</f>
        <v>-4.3179602120705489</v>
      </c>
    </row>
    <row r="44" spans="1:2" x14ac:dyDescent="0.25">
      <c r="A44" s="25">
        <f>Data!E60</f>
        <v>-9.3130852500755701</v>
      </c>
      <c r="B44" s="25">
        <f>Data!D60</f>
        <v>-3.6012428378636274</v>
      </c>
    </row>
    <row r="45" spans="1:2" x14ac:dyDescent="0.25">
      <c r="A45" s="25">
        <f>Data!E61</f>
        <v>-6.0847828414327569</v>
      </c>
      <c r="B45" s="25">
        <f>Data!D61</f>
        <v>-5.6598994594313723</v>
      </c>
    </row>
    <row r="46" spans="1:2" x14ac:dyDescent="0.25">
      <c r="A46" s="25">
        <f>Data!E62</f>
        <v>5.0053800729860543</v>
      </c>
      <c r="B46" s="25">
        <f>Data!D62</f>
        <v>7.637676113994285</v>
      </c>
    </row>
    <row r="47" spans="1:2" x14ac:dyDescent="0.25">
      <c r="A47" s="25">
        <f>Data!E65</f>
        <v>5.7831065116611624</v>
      </c>
      <c r="B47" s="25">
        <f>Data!D65</f>
        <v>-4.6846272257963779</v>
      </c>
    </row>
    <row r="48" spans="1:2" x14ac:dyDescent="0.25">
      <c r="A48" s="25">
        <f>Data!E66</f>
        <v>2.7119675339262184</v>
      </c>
      <c r="B48" s="25">
        <f>Data!D66</f>
        <v>-4.0056896715983452</v>
      </c>
    </row>
    <row r="49" spans="1:2" x14ac:dyDescent="0.25">
      <c r="A49" s="25">
        <f>Data!E67</f>
        <v>0.43615993391326047</v>
      </c>
      <c r="B49" s="25">
        <f>Data!D67</f>
        <v>-8.5857167671861028</v>
      </c>
    </row>
    <row r="50" spans="1:2" x14ac:dyDescent="0.25">
      <c r="A50" s="25">
        <f>Data!E68</f>
        <v>6.7060895239989149</v>
      </c>
      <c r="B50" s="25">
        <f>Data!D68</f>
        <v>-7.5204827787201944</v>
      </c>
    </row>
    <row r="51" spans="1:2" x14ac:dyDescent="0.25">
      <c r="A51" s="25">
        <f>Data!E69</f>
        <v>1.2451701025048445</v>
      </c>
      <c r="B51" s="25">
        <f>Data!D69</f>
        <v>-10.018456525749064</v>
      </c>
    </row>
    <row r="52" spans="1:2" x14ac:dyDescent="0.25">
      <c r="A52" s="25">
        <f>Data!E70</f>
        <v>3.8193595825721127</v>
      </c>
      <c r="B52" s="25">
        <f>Data!D70</f>
        <v>-9.5588631887287612</v>
      </c>
    </row>
    <row r="53" spans="1:2" x14ac:dyDescent="0.25">
      <c r="A53" s="25">
        <f>Data!E71</f>
        <v>0.4610746245282682</v>
      </c>
      <c r="B53" s="25">
        <f>Data!D71</f>
        <v>-6.4877705268310715</v>
      </c>
    </row>
    <row r="54" spans="1:2" x14ac:dyDescent="0.25">
      <c r="A54" s="25">
        <f>Data!E72</f>
        <v>-2.8908061839599819</v>
      </c>
      <c r="B54" s="25">
        <f>Data!D72</f>
        <v>-4.6973765209760483</v>
      </c>
    </row>
    <row r="55" spans="1:2" x14ac:dyDescent="0.25">
      <c r="A55" s="25">
        <f>Data!E73</f>
        <v>6.0096418625416925</v>
      </c>
      <c r="B55" s="25">
        <f>Data!D73</f>
        <v>-1.4298513832810666</v>
      </c>
    </row>
    <row r="60" spans="1:2" x14ac:dyDescent="0.25">
      <c r="A60" s="9" t="s">
        <v>187</v>
      </c>
    </row>
    <row r="61" spans="1:2" x14ac:dyDescent="0.25">
      <c r="A61" s="9" t="s">
        <v>188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Data</vt:lpstr>
      <vt:lpstr>Regression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Aayush Vikramsinh Parmar</cp:lastModifiedBy>
  <cp:revision>1</cp:revision>
  <dcterms:created xsi:type="dcterms:W3CDTF">2026-08-20T16:33:03Z</dcterms:created>
  <dcterms:modified xsi:type="dcterms:W3CDTF">2026-08-20T16:40:37Z</dcterms:modified>
  <dc:language>en-US</dc:language>
</cp:coreProperties>
</file>